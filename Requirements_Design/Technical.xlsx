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ject Charter" sheetId="1" r:id="rId5"/>
    <sheet state="visible" name="2. Master Planxxx" sheetId="2" r:id="rId6"/>
    <sheet state="visible" name="2. Price" sheetId="3" r:id="rId7"/>
    <sheet state="visible" name="3. Master Plan" sheetId="4" r:id="rId8"/>
  </sheets>
  <definedNames>
    <definedName name="thisDate">#REF!</definedName>
    <definedName name="pEnd">#REF!</definedName>
    <definedName name="nextDat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ID#AAAB9OWCrbg
theanh    (2026-06-29 02:38:24)
Lưu ý tính thêm các ngày nghỉ, CN
Số ngày thêm là 14 CN</t>
      </text>
    </comment>
  </commentList>
</comments>
</file>

<file path=xl/sharedStrings.xml><?xml version="1.0" encoding="utf-8"?>
<sst xmlns="http://schemas.openxmlformats.org/spreadsheetml/2006/main" count="370" uniqueCount="250">
  <si>
    <t>PROJECT CHARTER</t>
  </si>
  <si>
    <t>Tên dự án:</t>
  </si>
  <si>
    <t>DỰ ÁN Hệ thống quản lý khu vui chơi</t>
  </si>
  <si>
    <t>Đơn vị yêu cầu:</t>
  </si>
  <si>
    <t>CÔNG TY TNHHMTV Nguyễn Sơn Minh</t>
  </si>
  <si>
    <t>Ban chỉ đạo dự án:</t>
  </si>
  <si>
    <t>Giám đốc dự án:</t>
  </si>
  <si>
    <t>Nguyễn Sơn Minh</t>
  </si>
  <si>
    <t>Quản trị dự án:</t>
  </si>
  <si>
    <t>Đơn vị triển khai:</t>
  </si>
  <si>
    <t>Bộ môn CNPM</t>
  </si>
  <si>
    <t>Ngày bắt đầu:</t>
  </si>
  <si>
    <t>Ngày kết thúc:</t>
  </si>
  <si>
    <t>19/07/2026</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</si>
  <si>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</si>
  <si>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</si>
  <si>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</si>
  <si>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</si>
  <si>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</si>
  <si>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</si>
  <si>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</si>
  <si>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</si>
  <si>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</si>
  <si>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</si>
  <si>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</si>
  <si>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</si>
  <si>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</si>
  <si>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</si>
  <si>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</si>
  <si>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</si>
  <si>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</si>
  <si>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</si>
  <si>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</si>
  <si>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</si>
  <si>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</si>
  <si>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</si>
  <si>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</si>
  <si>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</si>
  <si>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</si>
  <si>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</si>
  <si>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</si>
  <si>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</si>
  <si>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</si>
  <si>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</si>
  <si>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</si>
  <si>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</si>
  <si>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</si>
  <si>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</si>
  <si>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</si>
  <si>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</si>
  <si>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</si>
  <si>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</si>
  <si>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</si>
  <si>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</si>
  <si>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</si>
  <si>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</si>
  <si>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</si>
  <si>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</si>
  <si>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</si>
  <si>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</si>
  <si>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</si>
  <si>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</si>
  <si>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</si>
  <si>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</si>
  <si>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</si>
  <si>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</si>
  <si>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</si>
  <si>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</si>
  <si>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</si>
  <si>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</si>
  <si>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</si>
  <si>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</si>
  <si>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</si>
  <si>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</si>
  <si>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</si>
  <si>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</si>
  <si>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</si>
  <si>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</si>
  <si>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</si>
  <si>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</si>
  <si>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</si>
  <si>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</si>
  <si>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</si>
  <si>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</si>
  <si>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</si>
  <si>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</si>
  <si>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</si>
  <si>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</si>
  <si>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</si>
  <si>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</si>
  <si>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</si>
  <si>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XXX</t>
  </si>
  <si>
    <r>
      <rPr>
        <rFont val="Times New Roman"/>
        <color theme="1"/>
        <sz val="12.0"/>
      </rPr>
      <t xml:space="preserve">Công ty: </t>
    </r>
    <r>
      <rPr>
        <rFont val="Times New Roman"/>
        <b/>
        <color theme="1"/>
        <sz val="12.0"/>
      </rPr>
      <t>Bộ môn CNPM</t>
    </r>
  </si>
  <si>
    <t>Dự án: DỰ ÁN XXX</t>
  </si>
  <si>
    <t>Từ ngày : 19/8/2024</t>
  </si>
  <si>
    <r>
      <rPr>
        <rFont val="Times New Roman"/>
        <color theme="1"/>
        <sz val="12.0"/>
      </rPr>
      <t xml:space="preserve">Khách hàng: </t>
    </r>
    <r>
      <rPr>
        <rFont val="Times New Roman"/>
        <b/>
        <color theme="1"/>
        <sz val="12.0"/>
      </rPr>
      <t>CÔNG TY YYY</t>
    </r>
  </si>
  <si>
    <t>Đến ngày: 19/12/2024</t>
  </si>
  <si>
    <t>STT</t>
  </si>
  <si>
    <t>Nội dung công việc</t>
  </si>
  <si>
    <t>Ghi chú</t>
  </si>
  <si>
    <t>Thời gian (Giờ)</t>
  </si>
  <si>
    <t>Effort
(manday)</t>
  </si>
  <si>
    <t>Comment</t>
  </si>
  <si>
    <t>I</t>
  </si>
  <si>
    <t>PHÂN TÍCH THIẾT KẾ</t>
  </si>
  <si>
    <t>Lập kế hoạch dự án</t>
  </si>
  <si>
    <t>Kickoff, WBS</t>
  </si>
  <si>
    <t>Phân tích yêu cầu nghiệp vụ</t>
  </si>
  <si>
    <t>35 Modules</t>
  </si>
  <si>
    <t>Thiết kế kiến trúc hệ thống</t>
  </si>
  <si>
    <t>Spring Boot, React, AI</t>
  </si>
  <si>
    <t>Thiết kế CSDL</t>
  </si>
  <si>
    <t>ERD, MySQL, BigQuery</t>
  </si>
  <si>
    <t>Thiết kế API</t>
  </si>
  <si>
    <t>REST, OpenAPI</t>
  </si>
  <si>
    <t>Thiết kế UI/UX</t>
  </si>
  <si>
    <t>Wireframe, Prototype</t>
  </si>
  <si>
    <t>Thiết kế Dashboard BI</t>
  </si>
  <si>
    <t>Looker Studio</t>
  </si>
  <si>
    <t>Thiết kế AI &amp; Data Pipeline</t>
  </si>
  <si>
    <t>Kafka, Spark</t>
  </si>
  <si>
    <t>II</t>
  </si>
  <si>
    <t>PHÁT TRIỂN VÀ XÂY DỰNG</t>
  </si>
  <si>
    <t>Authentication &amp; Authorization</t>
  </si>
  <si>
    <t>JWT, MFA</t>
  </si>
  <si>
    <t>User, Role, Permission</t>
  </si>
  <si>
    <t>RBAC</t>
  </si>
  <si>
    <t>Customer Management</t>
  </si>
  <si>
    <t>CRUD</t>
  </si>
  <si>
    <t>Employee &amp; Department</t>
  </si>
  <si>
    <t>HR</t>
  </si>
  <si>
    <t>Park &amp; Zone Management</t>
  </si>
  <si>
    <t>Park</t>
  </si>
  <si>
    <t>Ride Management</t>
  </si>
  <si>
    <t>Ride</t>
  </si>
  <si>
    <t>Ride Maintenance</t>
  </si>
  <si>
    <t>Maintenance</t>
  </si>
  <si>
    <t>Ride Inspection &amp; Schedule</t>
  </si>
  <si>
    <t>Inspection</t>
  </si>
  <si>
    <t>Ticket Management</t>
  </si>
  <si>
    <t>Ticket</t>
  </si>
  <si>
    <t>Booking &amp; Order</t>
  </si>
  <si>
    <t>Booking</t>
  </si>
  <si>
    <t>Payment Integration</t>
  </si>
  <si>
    <t>VNPay, MoMo</t>
  </si>
  <si>
    <t>Membership</t>
  </si>
  <si>
    <t>Loyalty</t>
  </si>
  <si>
    <t>Promotion &amp; Coupon</t>
  </si>
  <si>
    <t>Marketing</t>
  </si>
  <si>
    <t>Food Court</t>
  </si>
  <si>
    <t>POS</t>
  </si>
  <si>
    <t>Retail Shop</t>
  </si>
  <si>
    <t>Retail</t>
  </si>
  <si>
    <t>Parking System</t>
  </si>
  <si>
    <t>LPR</t>
  </si>
  <si>
    <t>Locker Management</t>
  </si>
  <si>
    <t>Locker</t>
  </si>
  <si>
    <t>Feedback</t>
  </si>
  <si>
    <t>CSKH</t>
  </si>
  <si>
    <t>Notification</t>
  </si>
  <si>
    <t>Email, SMS</t>
  </si>
  <si>
    <t>Incident Management</t>
  </si>
  <si>
    <t>Incident</t>
  </si>
  <si>
    <t>Audit Log</t>
  </si>
  <si>
    <t>Audit</t>
  </si>
  <si>
    <t>BI Pipeline</t>
  </si>
  <si>
    <t>Analytics Dashboard</t>
  </si>
  <si>
    <t>KPI</t>
  </si>
  <si>
    <t>AI Forecast Service</t>
  </si>
  <si>
    <t>FastAPI</t>
  </si>
  <si>
    <t>Executive Dashboard</t>
  </si>
  <si>
    <t>Dashboard</t>
  </si>
  <si>
    <t>Frontend ReactJS</t>
  </si>
  <si>
    <t>Admin + Client</t>
  </si>
  <si>
    <t>Unit Test</t>
  </si>
  <si>
    <t>Testing</t>
  </si>
  <si>
    <t>Integration Test</t>
  </si>
  <si>
    <t>API</t>
  </si>
  <si>
    <t>Performance Test</t>
  </si>
  <si>
    <t>JMeter</t>
  </si>
  <si>
    <t>Deployment &amp; DevOps</t>
  </si>
  <si>
    <t>Docker</t>
  </si>
  <si>
    <t>UAT &amp; Bug Fix</t>
  </si>
  <si>
    <t>Final</t>
  </si>
  <si>
    <t>TỔNG DỰ ÁN</t>
  </si>
  <si>
    <t>193 Giờ</t>
  </si>
  <si>
    <t>14.880.000 VND</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</si>
  <si>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</si>
  <si>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</si>
  <si>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</si>
  <si>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</si>
  <si>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</si>
  <si>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</si>
  <si>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</si>
  <si>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</si>
  <si>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</si>
  <si>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</si>
  <si>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</si>
  <si>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</si>
  <si>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</si>
  <si>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</si>
  <si>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</si>
  <si>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</si>
  <si>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</si>
  <si>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</si>
  <si>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</si>
  <si>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</si>
  <si>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Chuẩn bị &amp; Thiết kế hệ thống</t>
  </si>
  <si>
    <t>Thiết lập database và cấu hình test suite ban đầu</t>
  </si>
  <si>
    <t>BM CNPM</t>
  </si>
  <si>
    <t>C.TY YYY</t>
  </si>
  <si>
    <t>Khởi động sprint &amp; cấu hình database</t>
  </si>
  <si>
    <t>Thiết lập dự án, tạo script di chuyển CSDL MySQL (V13-V20)</t>
  </si>
  <si>
    <t>Thiết kế API Contract &amp; Test Base</t>
  </si>
  <si>
    <t>Hoàn thiện OpenAPI 3.1, viết khung test suite JUnit 5</t>
  </si>
  <si>
    <t>Triển khai Frontend Customer Portal</t>
  </si>
  <si>
    <t>Phát triển ứng dụng Web cho khách hàng</t>
  </si>
  <si>
    <t>Trang Đăng nhập &amp; Đăng ký (Unified Auth)</t>
  </si>
  <si>
    <t>Tích hợp JWT Auth, tự động nhận diện User Type Staff/Customer</t>
  </si>
  <si>
    <t>Phân hệ Đặt vé, Thanh toán &amp; Ví QR</t>
  </si>
  <si>
    <t>Màn hình chọn vé, giỏ hàng, checkout VNPay/MoMo, ví QR động</t>
  </si>
  <si>
    <t>Chăm sóc khách hàng (Engagement)</t>
  </si>
  <si>
    <t>Tích hợp phản hồi Feedback, Support tickets, Thông báo in-app</t>
  </si>
  <si>
    <t>III</t>
  </si>
  <si>
    <t>Triển khai Backend Services (Spring Boot)</t>
  </si>
  <si>
    <t>Phát triển logic nghiệp vụ và endpoints API</t>
  </si>
  <si>
    <t>Bảo mật hệ thống &amp; Phân quyền</t>
  </si>
  <si>
    <t>Cấu hình SecurityConfig, RateLimitFilter chặn spam, JWT Auth</t>
  </si>
  <si>
    <t>Nghiệp vụ Vận hành &amp; Phản hồi sự cố</t>
  </si>
  <si>
    <t>Triển khai API, Service, Unit Test cho Feedback và Incidents</t>
  </si>
  <si>
    <t>Nghiệp vụ Tiện ích (Locker &amp; Parking)</t>
  </si>
  <si>
    <t>Xử lý giao dịch thuê tủ locker và lưu vết bãi xe ra/vào</t>
  </si>
  <si>
    <t>Nghiệp vụ Khuyến mãi &amp; Thành viên</t>
  </si>
  <si>
    <t>Phát triển API tích điểm, thăng hạng VIP, áp mã giảm giá</t>
  </si>
  <si>
    <t>Notification Center (Email, SMS, Push)</t>
  </si>
  <si>
    <t>Xây dựng dịch vụ gửi email vé QR, OTP SMS, thông báo đẩy</t>
  </si>
  <si>
    <t>IV</t>
  </si>
  <si>
    <t>Đồng bộ Frontend Admin Portal</t>
  </si>
  <si>
    <t>Tinh chỉnh giao diện quản trị nội bộ</t>
  </si>
  <si>
    <t>Refactor Ride &amp; Gate Modules</t>
  </si>
  <si>
    <t>Loại bỏ dropdown filter địa điểm (venue-filters) dư thừa</t>
  </si>
  <si>
    <t>Kiểm duyệt liên kết API (Mock Audit)</t>
  </si>
  <si>
    <t>Rà soát trạng thái API thực tế thay thế dữ liệu giả lập (mock)</t>
  </si>
  <si>
    <t>V</t>
  </si>
  <si>
    <t>Kiểm thử tích hợp &amp; Nghiệm thu (UAT)</t>
  </si>
  <si>
    <t>Đảm bảo chất lượng và chuẩn bị chạy thực tế</t>
  </si>
  <si>
    <t>Kiểm thử liên thông luồng nghiệp vụ</t>
  </si>
  <si>
    <t>Kiểm thử luồng Đặt vé -&gt; Thanh toán -&gt; Check-in QR cổng Turnstile</t>
  </si>
  <si>
    <t>Golive hệ thống &amp; bàn giao mã nguồn</t>
  </si>
  <si>
    <t>Đóng gói Docker, cấu hình Production, bàn giao tài liệu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</si>
</sst>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mmm\-yy"/>
    <numFmt numFmtId="165" formatCode="ddd\,\ m/d/yyyy"/>
    <numFmt numFmtId="166" formatCode="m/d/yy"/>
    <numFmt numFmtId="167" formatCode="dd/mm/yyyy"/>
  </numFmts>
  <fonts count="37">
    <font>
      <sz val="11.0"/>
      <color theme="1"/>
      <name val="Arial"/>
      <scheme val="minor"/>
    </font>
    <font>
      <b/>
      <sz val="12.0"/>
      <color theme="1"/>
      <name val="Times New Roman"/>
    </font>
    <font/>
    <font>
      <sz val="12.0"/>
      <color theme="1"/>
      <name val="Times New Roman"/>
    </font>
    <font>
      <color theme="1"/>
      <name val="Arial"/>
    </font>
    <font>
      <sz val="10.0"/>
      <color theme="1"/>
      <name val="Arial"/>
    </font>
    <font>
      <sz val="11.0"/>
      <color theme="1"/>
      <name val="Calibri"/>
    </font>
    <font>
      <sz val="11.0"/>
      <color rgb="FF000000"/>
      <name val="Calibri"/>
    </font>
    <font>
      <b/>
      <sz val="16.0"/>
      <color theme="1"/>
      <name val="Calibri"/>
    </font>
    <font>
      <b/>
      <sz val="14.0"/>
      <color rgb="FF000000"/>
      <name val="Calibri"/>
    </font>
    <font>
      <b/>
      <sz val="11.0"/>
      <color rgb="FF000000"/>
      <name val="Calibri"/>
    </font>
    <font>
      <b/>
      <sz val="10.0"/>
      <color rgb="FF000000"/>
      <name val="Calibri"/>
    </font>
    <font>
      <sz val="9.0"/>
      <color rgb="FF000000"/>
      <name val="Calibri"/>
    </font>
    <font>
      <sz val="8.0"/>
      <color rgb="FF000000"/>
      <name val="Calibri"/>
    </font>
    <font>
      <b/>
      <sz val="16.0"/>
      <color theme="1"/>
      <name val="Times New Roman"/>
    </font>
    <font>
      <color theme="1"/>
      <name val="Times New Roman"/>
    </font>
    <font>
      <sz val="11.0"/>
      <color theme="1"/>
      <name val="Times New Roman"/>
    </font>
    <font>
      <b/>
      <sz val="12.0"/>
      <color rgb="FFFFFFFF"/>
      <name val="Times New Roman"/>
    </font>
    <font>
      <b/>
      <sz val="12.0"/>
      <color rgb="FF000000"/>
      <name val="Times New Roman"/>
    </font>
    <font>
      <sz val="14.0"/>
      <color theme="1"/>
      <name val="Times New Roman"/>
    </font>
    <font>
      <b/>
      <sz val="10.0"/>
      <color theme="4"/>
      <name val="Times New Roman"/>
    </font>
    <font>
      <b/>
      <sz val="10.0"/>
      <color rgb="FF2B4575"/>
      <name val="Times New Roman"/>
    </font>
    <font>
      <sz val="10.0"/>
      <color theme="1"/>
      <name val="Times New Roman"/>
    </font>
    <font>
      <sz val="10.0"/>
      <color rgb="FF7F7F7F"/>
      <name val="Times New Roman"/>
    </font>
    <font>
      <sz val="10.0"/>
      <color theme="0"/>
      <name val="Times New Roman"/>
    </font>
    <font>
      <sz val="10.0"/>
      <color rgb="FFD8D8D8"/>
      <name val="Times New Roman"/>
    </font>
    <font>
      <b/>
      <sz val="10.0"/>
      <color rgb="FFFFFFFF"/>
      <name val="Montserrat"/>
    </font>
    <font>
      <sz val="11.0"/>
      <color theme="1"/>
      <name val="Arial"/>
    </font>
    <font>
      <b/>
      <sz val="12.0"/>
      <color theme="0"/>
      <name val="Times New Roman"/>
    </font>
    <font>
      <sz val="8.0"/>
      <color theme="1"/>
      <name val="Arial"/>
    </font>
    <font>
      <sz val="12.0"/>
      <color rgb="FF333333"/>
      <name val="Times New Roman"/>
    </font>
    <font>
      <sz val="12.0"/>
      <color theme="0"/>
      <name val="Times New Roman"/>
    </font>
    <font>
      <b/>
      <sz val="10.0"/>
      <color theme="1"/>
      <name val="Times New Roman"/>
    </font>
    <font>
      <sz val="10.0"/>
      <color rgb="FF000000"/>
      <name val="Times New Roman"/>
    </font>
    <font>
      <b/>
      <sz val="10.0"/>
      <color rgb="FF000000"/>
      <name val="Times New Roman"/>
    </font>
    <font>
      <sz val="8.0"/>
      <color rgb="FF000000"/>
      <name val="Arial"/>
    </font>
    <font>
      <b/>
      <i/>
      <sz val="10.0"/>
      <color rgb="FF000000"/>
      <name val="Times New Roman"/>
    </font>
  </fonts>
  <fills count="17">
    <fill>
      <patternFill patternType="none"/>
    </fill>
    <fill>
      <patternFill patternType="lightGray"/>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theme="0"/>
        <bgColor theme="0"/>
      </patternFill>
    </fill>
    <fill>
      <patternFill patternType="solid">
        <fgColor rgb="FF4472C4"/>
        <bgColor rgb="FF4472C4"/>
      </patternFill>
    </fill>
    <fill>
      <patternFill patternType="solid">
        <fgColor rgb="FFD9E2F3"/>
        <bgColor rgb="FFD9E2F3"/>
      </patternFill>
    </fill>
    <fill>
      <patternFill patternType="solid">
        <fgColor rgb="FFD3DDEE"/>
        <bgColor rgb="FFD3DDEE"/>
      </patternFill>
    </fill>
    <fill>
      <patternFill patternType="solid">
        <fgColor rgb="FF425D90"/>
        <bgColor rgb="FF425D90"/>
      </patternFill>
    </fill>
    <fill>
      <patternFill patternType="solid">
        <fgColor rgb="FFDEE7F5"/>
        <bgColor rgb="FFDEE7F5"/>
      </patternFill>
    </fill>
    <fill>
      <patternFill patternType="solid">
        <fgColor rgb="FFFFFFFF"/>
        <bgColor rgb="FFFFFFFF"/>
      </patternFill>
    </fill>
    <fill>
      <patternFill patternType="solid">
        <fgColor rgb="FF7D9ACE"/>
        <bgColor rgb="FF7D9ACE"/>
      </patternFill>
    </fill>
    <fill>
      <patternFill patternType="solid">
        <fgColor rgb="FFF9F9FF"/>
        <bgColor rgb="FFF9F9FF"/>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
      <left style="thin">
        <color rgb="FF000000"/>
      </left>
      <right style="thin">
        <color rgb="FF000000"/>
      </right>
    </border>
    <border>
      <left style="thin">
        <color rgb="FF000000"/>
      </left>
    </border>
    <border>
      <right style="thin">
        <color rgb="FF000000"/>
      </right>
    </border>
    <border>
      <bottom style="thin">
        <color rgb="FF000000"/>
      </bottom>
    </border>
    <border>
      <left/>
      <right/>
      <top style="thin">
        <color rgb="FF000000"/>
      </top>
      <bottom style="thin">
        <color rgb="FF000000"/>
      </bottom>
    </border>
    <border>
      <left style="thin">
        <color rgb="FF0070C0"/>
      </left>
      <right style="thin">
        <color theme="4"/>
      </right>
      <top style="thin">
        <color rgb="FF0070C0"/>
      </top>
      <bottom style="thin">
        <color theme="4"/>
      </bottom>
    </border>
    <border>
      <left style="thin">
        <color theme="4"/>
      </left>
      <right style="thin">
        <color theme="4"/>
      </right>
      <top style="thin">
        <color rgb="FF0070C0"/>
      </top>
      <bottom style="thin">
        <color theme="4"/>
      </bottom>
    </border>
    <border>
      <left style="thin">
        <color theme="4"/>
      </left>
      <right style="thin">
        <color rgb="FF0070C0"/>
      </right>
      <top style="thin">
        <color rgb="FF0070C0"/>
      </top>
      <bottom style="thin">
        <color theme="4"/>
      </bottom>
    </border>
    <border>
      <left/>
      <right/>
      <top/>
      <bottom/>
    </border>
    <border>
      <left style="thin">
        <color rgb="FF0070C0"/>
      </left>
      <right style="thin">
        <color theme="4"/>
      </right>
      <top/>
      <bottom/>
    </border>
    <border>
      <left style="thin">
        <color theme="4"/>
      </left>
      <top style="thin">
        <color theme="4"/>
      </top>
      <bottom style="thin">
        <color theme="4"/>
      </bottom>
    </border>
    <border>
      <right style="thin">
        <color theme="4"/>
      </right>
      <top style="thin">
        <color theme="4"/>
      </top>
      <bottom style="thin">
        <color theme="4"/>
      </bottom>
    </border>
    <border>
      <left style="thin">
        <color theme="4"/>
      </left>
      <right style="thin">
        <color rgb="FF0070C0"/>
      </right>
      <top/>
      <bottom/>
    </border>
    <border>
      <left style="thin">
        <color theme="4"/>
      </left>
      <right/>
      <top style="thin">
        <color theme="4"/>
      </top>
      <bottom style="thin">
        <color theme="4"/>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bottom style="thin">
        <color rgb="FFBFBFBF"/>
      </bottom>
    </border>
    <border>
      <left style="thin">
        <color rgb="FFD8D8D8"/>
      </left>
      <right style="thin">
        <color rgb="FFD8D8D8"/>
      </right>
      <top style="thin">
        <color rgb="FFBFBFBF"/>
      </top>
      <bottom/>
    </border>
    <border>
      <left/>
      <right/>
      <top style="thin">
        <color rgb="FFA5A5A5"/>
      </top>
      <bottom/>
    </border>
    <border>
      <left style="thin">
        <color rgb="FFD8D8D8"/>
      </left>
      <right style="thin">
        <color rgb="FFD8D8D8"/>
      </right>
      <top/>
      <bottom style="medium">
        <color rgb="FFD8D8D8"/>
      </bottom>
    </border>
    <border>
      <left style="thin">
        <color rgb="FFD8D8D8"/>
      </left>
      <right style="thin">
        <color rgb="FFD8D8D8"/>
      </right>
      <top style="medium">
        <color rgb="FFD8D8D8"/>
      </top>
      <bottom style="medium">
        <color rgb="FFD8D8D8"/>
      </bottom>
    </border>
    <border>
      <top style="medium">
        <color rgb="FFD8D8D8"/>
      </top>
      <bottom style="medium">
        <color rgb="FFD8D8D8"/>
      </bottom>
    </border>
    <border>
      <left style="thin">
        <color rgb="FFD6D6D6"/>
      </left>
      <right style="thin">
        <color rgb="FFD6D6D6"/>
      </right>
      <top style="thin">
        <color rgb="FFD6D6D6"/>
      </top>
      <bottom style="thin">
        <color rgb="FFD6D6D6"/>
      </bottom>
    </border>
    <border>
      <left/>
      <right/>
      <top style="medium">
        <color rgb="FFD8D8D8"/>
      </top>
      <bottom style="medium">
        <color rgb="FFD8D8D8"/>
      </bottom>
    </border>
    <border>
      <left style="thin">
        <color rgb="FFD8D8D8"/>
      </left>
      <right/>
      <top style="medium">
        <color rgb="FFD8D8D8"/>
      </top>
      <bottom style="medium">
        <color rgb="FFD8D8D8"/>
      </bottom>
    </border>
    <border>
      <left style="thin">
        <color rgb="FFD9D9D9"/>
      </left>
      <right/>
      <top style="medium">
        <color rgb="FFD9D9D9"/>
      </top>
      <bottom style="medium">
        <color rgb="FFD9D9D9"/>
      </bottom>
    </border>
    <border>
      <left/>
      <right style="thin">
        <color rgb="FFD8D8D8"/>
      </right>
      <top style="medium">
        <color rgb="FFD8D8D8"/>
      </top>
      <bottom style="medium">
        <color rgb="FFD8D8D8"/>
      </bottom>
    </border>
    <border>
      <left style="thin">
        <color rgb="FFD8D8D8"/>
      </left>
      <top style="medium">
        <color rgb="FFD8D8D8"/>
      </top>
      <bottom style="medium">
        <color rgb="FFD8D8D8"/>
      </bottom>
    </border>
    <border>
      <right style="thin">
        <color rgb="FFD8D8D8"/>
      </right>
      <top style="medium">
        <color rgb="FFD8D8D8"/>
      </top>
      <bottom style="medium">
        <color rgb="FFD8D8D8"/>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1" numFmtId="0" xfId="0" applyAlignment="1" applyBorder="1" applyFont="1">
      <alignment horizontal="left" shrinkToFit="0" vertical="center" wrapText="1"/>
    </xf>
    <xf quotePrefix="1" borderId="1" fillId="0" fontId="1"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quotePrefix="1" borderId="1" fillId="0" fontId="3" numFmtId="0" xfId="0" applyAlignment="1" applyBorder="1" applyFont="1">
      <alignment horizontal="left" shrinkToFit="0" vertical="center" wrapText="1"/>
    </xf>
    <xf borderId="1" fillId="0" fontId="3" numFmtId="14" xfId="0" applyAlignment="1" applyBorder="1" applyFont="1" applyNumberFormat="1">
      <alignment horizontal="left" readingOrder="0" shrinkToFit="0" vertical="center" wrapText="1"/>
    </xf>
    <xf quotePrefix="1" borderId="4" fillId="0" fontId="3" numFmtId="0" xfId="0" applyAlignment="1" applyBorder="1" applyFont="1">
      <alignment horizontal="left" readingOrder="0" shrinkToFit="0" vertical="center" wrapText="1"/>
    </xf>
    <xf borderId="0" fillId="0" fontId="4" numFmtId="0" xfId="0" applyFont="1"/>
    <xf quotePrefix="1" borderId="1" fillId="0" fontId="3" numFmtId="0" xfId="0" applyAlignment="1" applyBorder="1" applyFont="1">
      <alignment shrinkToFit="0" vertical="top" wrapText="1"/>
    </xf>
    <xf quotePrefix="1" borderId="4" fillId="0" fontId="3" numFmtId="0" xfId="0" applyAlignment="1" applyBorder="1" applyFont="1">
      <alignment horizontal="left" shrinkToFit="0" vertical="top" wrapText="1"/>
    </xf>
    <xf borderId="5" fillId="2" fontId="1" numFmtId="0" xfId="0" applyAlignment="1" applyBorder="1" applyFont="1">
      <alignment horizontal="left" shrinkToFit="0" vertical="center" wrapText="1"/>
    </xf>
    <xf borderId="6" fillId="0" fontId="3" numFmtId="3" xfId="0" applyAlignment="1" applyBorder="1" applyFont="1" applyNumberFormat="1">
      <alignment horizontal="left" shrinkToFit="0" vertical="center" wrapText="1"/>
    </xf>
    <xf borderId="7" fillId="0" fontId="2" numFmtId="0" xfId="0" applyBorder="1" applyFont="1"/>
    <xf quotePrefix="1" borderId="5" fillId="0" fontId="3" numFmtId="0" xfId="0" applyAlignment="1" applyBorder="1" applyFont="1">
      <alignment horizontal="left" shrinkToFit="0" vertical="center" wrapText="1"/>
    </xf>
    <xf borderId="8" fillId="0" fontId="2" numFmtId="0" xfId="0" applyBorder="1" applyFont="1"/>
    <xf borderId="9" fillId="0" fontId="2" numFmtId="0" xfId="0" applyBorder="1" applyFont="1"/>
    <xf borderId="10" fillId="0" fontId="2" numFmtId="0" xfId="0" applyBorder="1" applyFont="1"/>
    <xf borderId="6" fillId="0" fontId="3" numFmtId="0" xfId="0" applyAlignment="1" applyBorder="1" applyFont="1">
      <alignment horizontal="left"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0" fillId="0" fontId="5" numFmtId="0" xfId="0" applyFont="1"/>
    <xf borderId="0" fillId="0" fontId="6" numFmtId="0" xfId="0" applyFont="1"/>
    <xf borderId="0" fillId="0" fontId="6" numFmtId="164" xfId="0" applyFont="1" applyNumberFormat="1"/>
    <xf borderId="4" fillId="3" fontId="7" numFmtId="0" xfId="0" applyAlignment="1" applyBorder="1" applyFill="1" applyFont="1">
      <alignment horizontal="center" vertical="center"/>
    </xf>
    <xf borderId="0" fillId="0" fontId="8" numFmtId="0" xfId="0" applyAlignment="1" applyFont="1">
      <alignment horizontal="center"/>
    </xf>
    <xf quotePrefix="1" borderId="6" fillId="4" fontId="9" numFmtId="0" xfId="0" applyAlignment="1" applyBorder="1" applyFill="1" applyFont="1">
      <alignment horizontal="center" shrinkToFit="0" vertical="center" wrapText="1"/>
    </xf>
    <xf borderId="6" fillId="0" fontId="10" numFmtId="0" xfId="0" applyAlignment="1" applyBorder="1" applyFont="1">
      <alignment horizontal="center" vertical="center"/>
    </xf>
    <xf borderId="5" fillId="4" fontId="10"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5" fillId="5" fontId="10" numFmtId="164" xfId="0" applyAlignment="1" applyBorder="1" applyFill="1" applyFont="1" applyNumberFormat="1">
      <alignment horizontal="center" shrinkToFit="0" vertical="center" wrapText="1"/>
    </xf>
    <xf borderId="1" fillId="0" fontId="11" numFmtId="0" xfId="0" applyAlignment="1" applyBorder="1" applyFont="1">
      <alignment horizontal="center" vertical="center"/>
    </xf>
    <xf borderId="4" fillId="4" fontId="10" numFmtId="0" xfId="0" applyAlignment="1" applyBorder="1" applyFont="1">
      <alignment shrinkToFit="0" wrapText="1"/>
    </xf>
    <xf borderId="4" fillId="0" fontId="12" numFmtId="0" xfId="0" applyAlignment="1" applyBorder="1" applyFont="1">
      <alignment horizontal="center" vertical="center"/>
    </xf>
    <xf borderId="1" fillId="6" fontId="10" numFmtId="0" xfId="0" applyAlignment="1" applyBorder="1" applyFill="1" applyFont="1">
      <alignment shrinkToFit="0" vertical="center" wrapText="1"/>
    </xf>
    <xf borderId="4" fillId="3" fontId="7" numFmtId="0" xfId="0" applyAlignment="1" applyBorder="1" applyFont="1">
      <alignment shrinkToFit="0" vertical="center" wrapText="1"/>
    </xf>
    <xf borderId="4" fillId="3" fontId="7" numFmtId="0" xfId="0" applyAlignment="1" applyBorder="1" applyFont="1">
      <alignment vertical="center"/>
    </xf>
    <xf borderId="4" fillId="3" fontId="7" numFmtId="3" xfId="0" applyAlignment="1" applyBorder="1" applyFont="1" applyNumberFormat="1">
      <alignment horizontal="center" vertical="center"/>
    </xf>
    <xf borderId="4" fillId="3" fontId="7" numFmtId="164" xfId="0" applyAlignment="1" applyBorder="1" applyFont="1" applyNumberFormat="1">
      <alignment horizontal="center" vertical="center"/>
    </xf>
    <xf borderId="4" fillId="7" fontId="13" numFmtId="0" xfId="0" applyAlignment="1" applyBorder="1" applyFill="1" applyFont="1">
      <alignment vertical="center"/>
    </xf>
    <xf borderId="4" fillId="8" fontId="13" numFmtId="0" xfId="0" applyAlignment="1" applyBorder="1" applyFill="1" applyFont="1">
      <alignment vertical="center"/>
    </xf>
    <xf borderId="4" fillId="0" fontId="13" numFmtId="0" xfId="0" applyAlignment="1" applyBorder="1" applyFont="1">
      <alignment vertical="center"/>
    </xf>
    <xf borderId="16" fillId="3" fontId="7" numFmtId="0" xfId="0" applyAlignment="1" applyBorder="1" applyFont="1">
      <alignment vertical="center"/>
    </xf>
    <xf borderId="16" fillId="3" fontId="7" numFmtId="3" xfId="0" applyAlignment="1" applyBorder="1" applyFont="1" applyNumberFormat="1">
      <alignment horizontal="center" vertical="center"/>
    </xf>
    <xf quotePrefix="1" borderId="4" fillId="3" fontId="7" numFmtId="0" xfId="0" applyAlignment="1" applyBorder="1" applyFont="1">
      <alignment shrinkToFit="0" vertical="center" wrapText="1"/>
    </xf>
    <xf borderId="0" fillId="0" fontId="14" numFmtId="0" xfId="0" applyAlignment="1" applyFont="1">
      <alignment horizontal="center" shrinkToFit="0" vertical="center" wrapText="1"/>
    </xf>
    <xf borderId="0" fillId="0" fontId="15" numFmtId="0" xfId="0" applyFont="1"/>
    <xf borderId="0" fillId="0" fontId="14"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center" vertical="center"/>
    </xf>
    <xf borderId="0" fillId="0" fontId="16" numFmtId="0" xfId="0" applyAlignment="1" applyFont="1">
      <alignment vertical="center"/>
    </xf>
    <xf borderId="0" fillId="0" fontId="3" numFmtId="0" xfId="0" applyAlignment="1" applyFont="1">
      <alignment vertical="center"/>
    </xf>
    <xf borderId="0" fillId="0" fontId="3" numFmtId="0" xfId="0" applyAlignment="1" applyFont="1">
      <alignment horizontal="right" vertical="center"/>
    </xf>
    <xf borderId="0" fillId="0" fontId="1" numFmtId="0" xfId="0" applyAlignment="1" applyFont="1">
      <alignment horizontal="left" vertical="center"/>
    </xf>
    <xf borderId="17" fillId="9" fontId="17" numFmtId="0" xfId="0" applyAlignment="1" applyBorder="1" applyFill="1" applyFont="1">
      <alignment horizontal="center" shrinkToFit="0" vertical="center" wrapText="1"/>
    </xf>
    <xf borderId="18" fillId="9" fontId="17" numFmtId="0" xfId="0" applyAlignment="1" applyBorder="1" applyFont="1">
      <alignment horizontal="center" shrinkToFit="0" vertical="center" wrapText="1"/>
    </xf>
    <xf borderId="18" fillId="9" fontId="17" numFmtId="0" xfId="0" applyAlignment="1" applyBorder="1" applyFont="1">
      <alignment horizontal="center" readingOrder="0" shrinkToFit="0" vertical="center" wrapText="1"/>
    </xf>
    <xf borderId="19" fillId="9" fontId="17" numFmtId="0" xfId="0" applyAlignment="1" applyBorder="1" applyFont="1">
      <alignment horizontal="center" shrinkToFit="0" vertical="center" wrapText="1"/>
    </xf>
    <xf borderId="20" fillId="9" fontId="17" numFmtId="0" xfId="0" applyAlignment="1" applyBorder="1" applyFont="1">
      <alignment horizontal="center" shrinkToFit="0" vertical="center" wrapText="1"/>
    </xf>
    <xf borderId="21" fillId="10" fontId="1" numFmtId="0" xfId="0" applyAlignment="1" applyBorder="1" applyFill="1" applyFont="1">
      <alignment horizontal="center" shrinkToFit="0" vertical="center" wrapText="1"/>
    </xf>
    <xf borderId="22" fillId="10" fontId="18" numFmtId="0" xfId="0" applyAlignment="1" applyBorder="1" applyFont="1">
      <alignment horizontal="left" shrinkToFit="0" vertical="center" wrapText="1"/>
    </xf>
    <xf borderId="23" fillId="0" fontId="2" numFmtId="0" xfId="0" applyBorder="1" applyFont="1"/>
    <xf borderId="20" fillId="10" fontId="18" numFmtId="0" xfId="0" applyAlignment="1" applyBorder="1" applyFont="1">
      <alignment horizontal="right" shrinkToFit="0" vertical="center" wrapText="1"/>
    </xf>
    <xf borderId="24" fillId="10" fontId="18" numFmtId="0" xfId="0" applyAlignment="1" applyBorder="1" applyFont="1">
      <alignment horizontal="right" shrinkToFit="0" vertical="center" wrapText="1"/>
    </xf>
    <xf borderId="0" fillId="0" fontId="15" numFmtId="0" xfId="0" applyAlignment="1" applyFont="1">
      <alignment readingOrder="0"/>
    </xf>
    <xf borderId="0" fillId="0" fontId="15" numFmtId="0" xfId="0" applyAlignment="1" applyFont="1">
      <alignment horizontal="right" readingOrder="0"/>
    </xf>
    <xf borderId="0" fillId="0" fontId="15" numFmtId="3" xfId="0" applyAlignment="1" applyFont="1" applyNumberFormat="1">
      <alignment horizontal="right" readingOrder="0"/>
    </xf>
    <xf borderId="0" fillId="0" fontId="15" numFmtId="0" xfId="0" applyFont="1"/>
    <xf borderId="25" fillId="10" fontId="18" numFmtId="0" xfId="0" applyAlignment="1" applyBorder="1" applyFont="1">
      <alignment horizontal="center" shrinkToFit="0" vertical="center" wrapText="1"/>
    </xf>
    <xf borderId="25" fillId="10" fontId="18" numFmtId="0" xfId="0" applyAlignment="1" applyBorder="1" applyFont="1">
      <alignment shrinkToFit="0" vertical="center" wrapText="1"/>
    </xf>
    <xf borderId="0" fillId="0" fontId="15" numFmtId="0" xfId="0" applyFont="1"/>
    <xf borderId="0" fillId="10" fontId="19" numFmtId="0" xfId="0" applyAlignment="1" applyFont="1">
      <alignment readingOrder="0"/>
    </xf>
    <xf borderId="0" fillId="10" fontId="19" numFmtId="0" xfId="0" applyAlignment="1" applyFont="1">
      <alignment horizontal="right" readingOrder="0"/>
    </xf>
    <xf borderId="0" fillId="10" fontId="19" numFmtId="0" xfId="0" applyFont="1"/>
    <xf borderId="0" fillId="0" fontId="20" numFmtId="0" xfId="0" applyAlignment="1" applyFont="1">
      <alignment horizontal="left"/>
    </xf>
    <xf borderId="0" fillId="0" fontId="21" numFmtId="0" xfId="0" applyAlignment="1" applyFont="1">
      <alignment horizontal="left"/>
    </xf>
    <xf borderId="0" fillId="0" fontId="22" numFmtId="0" xfId="0" applyFont="1"/>
    <xf borderId="0" fillId="0" fontId="22" numFmtId="0" xfId="0" applyAlignment="1" applyFont="1">
      <alignment horizontal="left"/>
    </xf>
    <xf borderId="0" fillId="0" fontId="22" numFmtId="0" xfId="0" applyAlignment="1" applyFont="1">
      <alignment horizontal="center"/>
    </xf>
    <xf borderId="0" fillId="0" fontId="23" numFmtId="0" xfId="0" applyAlignment="1" applyFont="1">
      <alignment vertical="center"/>
    </xf>
    <xf borderId="0" fillId="0" fontId="24" numFmtId="0" xfId="0" applyFont="1"/>
    <xf borderId="0" fillId="0" fontId="23" numFmtId="0" xfId="0" applyAlignment="1" applyFont="1">
      <alignment horizontal="left"/>
    </xf>
    <xf borderId="0" fillId="0" fontId="22" numFmtId="0" xfId="0" applyAlignment="1" applyFont="1">
      <alignment horizontal="right" vertical="center"/>
    </xf>
    <xf borderId="26" fillId="0" fontId="22" numFmtId="165" xfId="0" applyAlignment="1" applyBorder="1" applyFont="1" applyNumberFormat="1">
      <alignment horizontal="center" vertical="center"/>
    </xf>
    <xf borderId="27" fillId="0" fontId="2" numFmtId="0" xfId="0" applyBorder="1" applyFont="1"/>
    <xf borderId="28" fillId="0" fontId="22" numFmtId="0" xfId="0" applyAlignment="1" applyBorder="1" applyFont="1">
      <alignment horizontal="center" vertical="center"/>
    </xf>
    <xf borderId="29" fillId="0" fontId="22" numFmtId="0" xfId="0" applyAlignment="1" applyBorder="1" applyFont="1">
      <alignment horizontal="center" vertical="center"/>
    </xf>
    <xf borderId="30" fillId="0" fontId="25" numFmtId="14" xfId="0" applyBorder="1" applyFont="1" applyNumberFormat="1"/>
    <xf borderId="31" fillId="11" fontId="22" numFmtId="14" xfId="0" applyAlignment="1" applyBorder="1" applyFill="1" applyFont="1" applyNumberFormat="1">
      <alignment horizontal="center" shrinkToFit="0" vertical="center" wrapText="1"/>
    </xf>
    <xf borderId="32" fillId="12" fontId="26" numFmtId="0" xfId="0" applyAlignment="1" applyBorder="1" applyFill="1" applyFont="1">
      <alignment horizontal="center" vertical="center"/>
    </xf>
    <xf borderId="32" fillId="12" fontId="26" numFmtId="0" xfId="0" applyAlignment="1" applyBorder="1" applyFont="1">
      <alignment horizontal="left" vertical="center"/>
    </xf>
    <xf borderId="32" fillId="12" fontId="26" numFmtId="0" xfId="0" applyAlignment="1" applyBorder="1" applyFont="1">
      <alignment horizontal="center" shrinkToFit="0" vertical="center" wrapText="1"/>
    </xf>
    <xf borderId="33" fillId="12" fontId="26" numFmtId="0" xfId="0" applyAlignment="1" applyBorder="1" applyFont="1">
      <alignment horizontal="center" shrinkToFit="1" vertical="center" wrapText="0"/>
    </xf>
    <xf borderId="34" fillId="0" fontId="22" numFmtId="0" xfId="0" applyAlignment="1" applyBorder="1" applyFont="1">
      <alignment horizontal="center" vertical="center"/>
    </xf>
    <xf borderId="34" fillId="0" fontId="22" numFmtId="0" xfId="0" applyAlignment="1" applyBorder="1" applyFont="1">
      <alignment horizontal="left" vertical="center"/>
    </xf>
    <xf borderId="34" fillId="0" fontId="22" numFmtId="9" xfId="0" applyAlignment="1" applyBorder="1" applyFont="1" applyNumberFormat="1">
      <alignment horizontal="center" vertical="center"/>
    </xf>
    <xf borderId="34" fillId="0" fontId="22" numFmtId="166" xfId="0" applyAlignment="1" applyBorder="1" applyFont="1" applyNumberFormat="1">
      <alignment horizontal="center" vertical="center"/>
    </xf>
    <xf borderId="35" fillId="0" fontId="22" numFmtId="0" xfId="0" applyAlignment="1" applyBorder="1" applyFont="1">
      <alignment vertical="center"/>
    </xf>
    <xf borderId="0" fillId="0" fontId="22" numFmtId="0" xfId="0" applyAlignment="1" applyFont="1">
      <alignment vertical="center"/>
    </xf>
    <xf borderId="0" fillId="0" fontId="27" numFmtId="0" xfId="0" applyAlignment="1" applyFont="1">
      <alignment vertical="center"/>
    </xf>
    <xf borderId="36" fillId="12" fontId="28" numFmtId="0" xfId="0" applyAlignment="1" applyBorder="1" applyFont="1">
      <alignment horizontal="left" readingOrder="0"/>
    </xf>
    <xf borderId="36" fillId="12" fontId="28" numFmtId="9" xfId="0" applyAlignment="1" applyBorder="1" applyFont="1" applyNumberFormat="1">
      <alignment horizontal="center" readingOrder="0"/>
    </xf>
    <xf borderId="36" fillId="12" fontId="28" numFmtId="14" xfId="0" applyAlignment="1" applyBorder="1" applyFont="1" applyNumberFormat="1">
      <alignment horizontal="center" readingOrder="0"/>
    </xf>
    <xf borderId="36" fillId="12" fontId="28" numFmtId="0" xfId="0" applyAlignment="1" applyBorder="1" applyFont="1">
      <alignment horizontal="center" readingOrder="0"/>
    </xf>
    <xf borderId="34" fillId="13" fontId="22" numFmtId="14" xfId="0" applyAlignment="1" applyBorder="1" applyFill="1" applyFont="1" applyNumberFormat="1">
      <alignment horizontal="center" vertical="center"/>
    </xf>
    <xf borderId="34" fillId="13" fontId="22" numFmtId="0" xfId="0" applyAlignment="1" applyBorder="1" applyFont="1">
      <alignment horizontal="center" vertical="center"/>
    </xf>
    <xf borderId="35" fillId="0" fontId="22" numFmtId="0" xfId="0" applyAlignment="1" applyBorder="1" applyFont="1">
      <alignment vertical="center"/>
    </xf>
    <xf borderId="0" fillId="0" fontId="22" numFmtId="0" xfId="0" applyAlignment="1" applyFont="1">
      <alignment vertical="center"/>
    </xf>
    <xf borderId="0" fillId="0" fontId="29" numFmtId="0" xfId="0" applyAlignment="1" applyFont="1">
      <alignment vertical="center"/>
    </xf>
    <xf borderId="36" fillId="14" fontId="30" numFmtId="0" xfId="0" applyAlignment="1" applyBorder="1" applyFill="1" applyFont="1">
      <alignment horizontal="left" readingOrder="0"/>
    </xf>
    <xf borderId="36" fillId="14" fontId="30" numFmtId="9" xfId="0" applyAlignment="1" applyBorder="1" applyFont="1" applyNumberFormat="1">
      <alignment horizontal="center" readingOrder="0"/>
    </xf>
    <xf borderId="36" fillId="14" fontId="30" numFmtId="14" xfId="0" applyAlignment="1" applyBorder="1" applyFont="1" applyNumberFormat="1">
      <alignment horizontal="center" readingOrder="0"/>
    </xf>
    <xf borderId="36" fillId="14" fontId="30" numFmtId="0" xfId="0" applyAlignment="1" applyBorder="1" applyFont="1">
      <alignment horizontal="center" readingOrder="0"/>
    </xf>
    <xf borderId="36" fillId="14" fontId="30" numFmtId="167" xfId="0" applyAlignment="1" applyBorder="1" applyFont="1" applyNumberFormat="1">
      <alignment horizontal="center" readingOrder="0"/>
    </xf>
    <xf borderId="36" fillId="12" fontId="31" numFmtId="0" xfId="0" applyAlignment="1" applyBorder="1" applyFont="1">
      <alignment horizontal="left" readingOrder="0"/>
    </xf>
    <xf borderId="36" fillId="12" fontId="31" numFmtId="9" xfId="0" applyAlignment="1" applyBorder="1" applyFont="1" applyNumberFormat="1">
      <alignment horizontal="center" readingOrder="0"/>
    </xf>
    <xf borderId="36" fillId="12" fontId="31" numFmtId="14" xfId="0" applyAlignment="1" applyBorder="1" applyFont="1" applyNumberFormat="1">
      <alignment horizontal="center" readingOrder="0"/>
    </xf>
    <xf borderId="36" fillId="12" fontId="31" numFmtId="0" xfId="0" applyAlignment="1" applyBorder="1" applyFont="1">
      <alignment horizontal="center" readingOrder="0"/>
    </xf>
    <xf borderId="37" fillId="8" fontId="22" numFmtId="0" xfId="0" applyAlignment="1" applyBorder="1" applyFont="1">
      <alignment vertical="center"/>
    </xf>
    <xf borderId="37" fillId="8" fontId="29" numFmtId="0" xfId="0" applyAlignment="1" applyBorder="1" applyFont="1">
      <alignment vertical="center"/>
    </xf>
    <xf borderId="37" fillId="8" fontId="22" numFmtId="2" xfId="0" applyAlignment="1" applyBorder="1" applyFont="1" applyNumberFormat="1">
      <alignment vertical="center"/>
    </xf>
    <xf borderId="34" fillId="15" fontId="32" numFmtId="14" xfId="0" applyAlignment="1" applyBorder="1" applyFill="1" applyFont="1" applyNumberFormat="1">
      <alignment horizontal="center" vertical="center"/>
    </xf>
    <xf borderId="34" fillId="15" fontId="22" numFmtId="0" xfId="0" applyAlignment="1" applyBorder="1" applyFont="1">
      <alignment horizontal="center" vertical="center"/>
    </xf>
    <xf borderId="34" fillId="15" fontId="22" numFmtId="14" xfId="0" applyAlignment="1" applyBorder="1" applyFont="1" applyNumberFormat="1">
      <alignment horizontal="center" vertical="center"/>
    </xf>
    <xf borderId="34" fillId="13" fontId="22" numFmtId="0" xfId="0" applyAlignment="1" applyBorder="1" applyFont="1">
      <alignment horizontal="center" readingOrder="0" vertical="center"/>
    </xf>
    <xf borderId="38" fillId="16" fontId="33" numFmtId="0" xfId="0" applyAlignment="1" applyBorder="1" applyFill="1" applyFont="1">
      <alignment horizontal="left" vertical="center"/>
    </xf>
    <xf borderId="34" fillId="16" fontId="33" numFmtId="0" xfId="0" applyAlignment="1" applyBorder="1" applyFont="1">
      <alignment horizontal="left" vertical="center"/>
    </xf>
    <xf borderId="34" fillId="16" fontId="34" numFmtId="0" xfId="0" applyAlignment="1" applyBorder="1" applyFont="1">
      <alignment horizontal="center" vertical="center"/>
    </xf>
    <xf borderId="34" fillId="16" fontId="33" numFmtId="9" xfId="0" applyAlignment="1" applyBorder="1" applyFont="1" applyNumberFormat="1">
      <alignment horizontal="center" vertical="center"/>
    </xf>
    <xf borderId="34" fillId="16" fontId="33" numFmtId="14" xfId="0" applyAlignment="1" applyBorder="1" applyFont="1" applyNumberFormat="1">
      <alignment horizontal="center" vertical="center"/>
    </xf>
    <xf borderId="34" fillId="16" fontId="33" numFmtId="0" xfId="0" applyAlignment="1" applyBorder="1" applyFont="1">
      <alignment horizontal="center" vertical="center"/>
    </xf>
    <xf borderId="35" fillId="16" fontId="33" numFmtId="0" xfId="0" applyAlignment="1" applyBorder="1" applyFont="1">
      <alignment vertical="center"/>
    </xf>
    <xf borderId="0" fillId="16" fontId="33" numFmtId="0" xfId="0" applyAlignment="1" applyFont="1">
      <alignment vertical="center"/>
    </xf>
    <xf borderId="0" fillId="16" fontId="35" numFmtId="0" xfId="0" applyAlignment="1" applyFont="1">
      <alignment vertical="center"/>
    </xf>
    <xf borderId="39" fillId="16" fontId="33" numFmtId="0" xfId="0" applyAlignment="1" applyBorder="1" applyFont="1">
      <alignment horizontal="left" vertical="center"/>
    </xf>
    <xf borderId="34" fillId="16" fontId="36" numFmtId="14" xfId="0" applyAlignment="1" applyBorder="1" applyFont="1" applyNumberFormat="1">
      <alignment horizontal="center" vertical="center"/>
    </xf>
    <xf borderId="34" fillId="16" fontId="36" numFmtId="0" xfId="0" applyAlignment="1" applyBorder="1" applyFont="1">
      <alignment horizontal="center" vertical="center"/>
    </xf>
    <xf borderId="38" fillId="16" fontId="34" numFmtId="0" xfId="0" applyAlignment="1" applyBorder="1" applyFont="1">
      <alignment horizontal="left" vertical="center"/>
    </xf>
    <xf borderId="34" fillId="16" fontId="34" numFmtId="14" xfId="0" applyAlignment="1" applyBorder="1" applyFont="1" applyNumberFormat="1">
      <alignment horizontal="center" vertical="center"/>
    </xf>
    <xf borderId="40" fillId="16" fontId="33" numFmtId="0" xfId="0" applyAlignment="1" applyBorder="1" applyFont="1">
      <alignment horizontal="left" vertical="center"/>
    </xf>
    <xf borderId="35" fillId="16" fontId="33" numFmtId="0" xfId="0" applyAlignment="1" applyBorder="1" applyFont="1">
      <alignment horizontal="right" vertical="center"/>
    </xf>
    <xf borderId="34" fillId="16" fontId="34" numFmtId="9" xfId="0" applyAlignment="1" applyBorder="1" applyFont="1" applyNumberFormat="1">
      <alignment horizontal="center" vertical="center"/>
    </xf>
    <xf borderId="41" fillId="16" fontId="34" numFmtId="0" xfId="0" applyAlignment="1" applyBorder="1" applyFont="1">
      <alignment vertical="center"/>
    </xf>
    <xf borderId="42" fillId="0" fontId="2" numFmtId="0" xfId="0" applyBorder="1" applyFont="1"/>
    <xf borderId="34" fillId="16" fontId="34" numFmtId="0" xfId="0" applyAlignment="1" applyBorder="1" applyFont="1">
      <alignment horizontal="left" vertical="center"/>
    </xf>
    <xf borderId="38" fillId="16" fontId="34" numFmtId="0" xfId="0" applyAlignment="1" applyBorder="1" applyFont="1">
      <alignment vertical="center"/>
    </xf>
    <xf borderId="40" fillId="16" fontId="34" numFmtId="0" xfId="0" applyAlignment="1" applyBorder="1" applyFont="1">
      <alignment vertical="center"/>
    </xf>
    <xf borderId="0" fillId="0" fontId="27" numFmtId="0" xfId="0" applyAlignment="1" applyFont="1">
      <alignment horizontal="center"/>
    </xf>
  </cellXfs>
  <cellStyles count="1">
    <cellStyle xfId="0" name="Normal" builtinId="0"/>
  </cellStyles>
  <dxfs count="9">
    <dxf>
      <font>
        <color rgb="FF9C65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none"/>
      </fill>
      <border/>
    </dxf>
    <dxf>
      <font/>
      <fill>
        <patternFill patternType="solid">
          <fgColor rgb="FFF9F9FF"/>
          <bgColor rgb="FFF9F9FF"/>
        </patternFill>
      </fill>
      <border/>
    </dxf>
    <dxf>
      <font/>
      <fill>
        <patternFill patternType="solid">
          <fgColor rgb="FFFFFFFF"/>
          <bgColor rgb="FFFFFFFF"/>
        </patternFill>
      </fill>
      <border/>
    </dxf>
    <dxf>
      <font/>
      <fill>
        <patternFill patternType="none"/>
      </fill>
      <border>
        <right style="thin">
          <color rgb="FFD8D8D8"/>
        </right>
      </border>
    </dxf>
    <dxf>
      <font/>
      <fill>
        <patternFill patternType="solid">
          <fgColor rgb="FF7F7F7F"/>
          <bgColor rgb="FF7F7F7F"/>
        </patternFill>
      </fill>
      <border/>
    </dxf>
    <dxf>
      <font/>
      <fill>
        <patternFill patternType="solid">
          <fgColor rgb="FF3969AD"/>
          <bgColor rgb="FF3969AD"/>
        </patternFill>
      </fill>
      <border/>
    </dxf>
    <dxf>
      <font/>
      <fill>
        <patternFill patternType="none"/>
      </fill>
      <border>
        <left style="thin">
          <color rgb="FFC00000"/>
        </left>
        <right style="thin">
          <color rgb="FFC00000"/>
        </right>
      </border>
    </dxf>
  </dxfs>
  <tableStyles count="1">
    <tableStyle count="2" pivot="0" name="3. Master Plan-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9:BO27" displayName="Table_1" name="Table_1" id="1">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3. Master Pl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13"/>
    <col customWidth="1" min="2" max="2" width="8.88"/>
    <col customWidth="1" min="3" max="3" width="24.38"/>
    <col customWidth="1" min="4" max="4" width="19.38"/>
    <col customWidth="1" min="5" max="5" width="36.13"/>
    <col customWidth="1" min="6" max="7" width="8.88"/>
  </cols>
  <sheetData>
    <row r="1" ht="24.75" customHeight="1">
      <c r="A1" s="1" t="s">
        <v>0</v>
      </c>
      <c r="B1" s="2"/>
      <c r="C1" s="2"/>
      <c r="D1" s="2"/>
      <c r="E1" s="3"/>
    </row>
    <row r="2" ht="13.5" customHeight="1">
      <c r="A2" s="4" t="s">
        <v>1</v>
      </c>
      <c r="B2" s="5" t="s">
        <v>2</v>
      </c>
      <c r="C2" s="2"/>
      <c r="D2" s="2"/>
      <c r="E2" s="3"/>
    </row>
    <row r="3" ht="13.5" customHeight="1">
      <c r="A3" s="4" t="s">
        <v>3</v>
      </c>
      <c r="B3" s="5" t="s">
        <v>4</v>
      </c>
      <c r="C3" s="2"/>
      <c r="D3" s="2"/>
      <c r="E3" s="3"/>
    </row>
    <row r="4" ht="13.5" customHeight="1">
      <c r="A4" s="4" t="s">
        <v>5</v>
      </c>
      <c r="B4" s="6"/>
      <c r="C4" s="2"/>
      <c r="D4" s="2"/>
      <c r="E4" s="3"/>
    </row>
    <row r="5" ht="13.5" customHeight="1">
      <c r="A5" s="4" t="s">
        <v>6</v>
      </c>
      <c r="B5" s="7" t="s">
        <v>7</v>
      </c>
      <c r="C5" s="2"/>
      <c r="D5" s="2"/>
      <c r="E5" s="3"/>
    </row>
    <row r="6" ht="13.5" customHeight="1">
      <c r="A6" s="4" t="s">
        <v>8</v>
      </c>
      <c r="B6" s="7" t="s">
        <v>7</v>
      </c>
      <c r="C6" s="2"/>
      <c r="D6" s="2"/>
      <c r="E6" s="3"/>
    </row>
    <row r="7" ht="13.5" customHeight="1">
      <c r="A7" s="4" t="s">
        <v>9</v>
      </c>
      <c r="B7" s="8" t="s">
        <v>10</v>
      </c>
      <c r="C7" s="2"/>
      <c r="D7" s="2"/>
      <c r="E7" s="3"/>
    </row>
    <row r="8" ht="30.75" customHeight="1">
      <c r="A8" s="4" t="s">
        <v>11</v>
      </c>
      <c r="B8" s="9">
        <v>46210.0</v>
      </c>
      <c r="C8" s="3"/>
      <c r="D8" s="4" t="s">
        <v>12</v>
      </c>
      <c r="E8" s="10" t="s">
        <v>13</v>
      </c>
    </row>
    <row r="9" ht="76.5" customHeight="1">
      <c r="A9" s="4" t="s">
        <v>14</v>
      </c>
      <c r="B9" s="6"/>
      <c r="C9" s="2"/>
      <c r="D9" s="2"/>
      <c r="E9" s="3"/>
      <c r="G9" s="11" t="s">
        <v>15</v>
      </c>
    </row>
    <row r="10" ht="31.5" customHeight="1">
      <c r="A10" s="4" t="s">
        <v>16</v>
      </c>
      <c r="B10" s="12" t="s">
        <v>17</v>
      </c>
      <c r="C10" s="3"/>
      <c r="D10" s="4" t="s">
        <v>18</v>
      </c>
      <c r="E10" s="13" t="s">
        <v>19</v>
      </c>
    </row>
    <row r="11" ht="13.5" customHeight="1">
      <c r="A11" s="14" t="s">
        <v>20</v>
      </c>
      <c r="B11" s="15"/>
      <c r="C11" s="16"/>
      <c r="D11" s="14" t="s">
        <v>9</v>
      </c>
      <c r="E11" s="17" t="s">
        <v>10</v>
      </c>
    </row>
    <row r="12" ht="18.0" customHeight="1">
      <c r="A12" s="18"/>
      <c r="B12" s="19"/>
      <c r="C12" s="20"/>
      <c r="D12" s="18"/>
      <c r="E12" s="18"/>
    </row>
    <row r="13" ht="13.5" customHeight="1">
      <c r="A13" s="14" t="s">
        <v>21</v>
      </c>
      <c r="B13" s="21"/>
      <c r="C13" s="22"/>
      <c r="D13" s="22"/>
      <c r="E13" s="16"/>
    </row>
    <row r="14" ht="13.5" customHeight="1">
      <c r="A14" s="23"/>
      <c r="B14" s="24"/>
      <c r="E14" s="25"/>
    </row>
    <row r="15" ht="24.0" customHeight="1">
      <c r="A15" s="18"/>
      <c r="B15" s="19"/>
      <c r="C15" s="26"/>
      <c r="D15" s="26"/>
      <c r="E15" s="20"/>
    </row>
    <row r="16" ht="13.5" customHeight="1">
      <c r="A16" s="27"/>
      <c r="B16" s="27"/>
      <c r="C16" s="27"/>
      <c r="D16" s="27"/>
      <c r="E16" s="27"/>
    </row>
    <row r="17" ht="13.5" customHeight="1">
      <c r="A17" s="27"/>
      <c r="B17" s="27"/>
      <c r="C17" s="27"/>
      <c r="D17" s="27"/>
      <c r="E17" s="27"/>
    </row>
    <row r="18" ht="13.5" customHeight="1">
      <c r="A18" s="27"/>
      <c r="B18" s="27"/>
      <c r="C18" s="27"/>
      <c r="D18" s="27"/>
      <c r="E18" s="27"/>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48.13"/>
    <col customWidth="1" hidden="1" min="3" max="3" width="4.13"/>
    <col customWidth="1" min="4" max="4" width="10.38"/>
    <col customWidth="1" hidden="1" min="5" max="5" width="7.5"/>
    <col customWidth="1" hidden="1" min="6" max="6" width="8.13"/>
    <col customWidth="1" hidden="1" min="7" max="7" width="8.88"/>
    <col customWidth="1" min="8" max="39" width="3.13"/>
    <col customWidth="1" min="40" max="40" width="9.0"/>
    <col customWidth="1" min="41" max="41" width="10.38"/>
  </cols>
  <sheetData>
    <row r="1">
      <c r="A1" s="28"/>
      <c r="B1" s="28"/>
      <c r="C1" s="28"/>
      <c r="D1" s="28"/>
      <c r="E1" s="28"/>
      <c r="F1" s="28"/>
      <c r="G1" s="29"/>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30" t="s">
        <v>22</v>
      </c>
    </row>
    <row r="2">
      <c r="A2" s="31" t="s">
        <v>23</v>
      </c>
      <c r="R2" s="31"/>
      <c r="S2" s="31"/>
      <c r="T2" s="31"/>
      <c r="U2" s="31"/>
      <c r="V2" s="31"/>
      <c r="W2" s="31"/>
      <c r="X2" s="31"/>
      <c r="Y2" s="31"/>
      <c r="Z2" s="31"/>
      <c r="AA2" s="31"/>
      <c r="AB2" s="31"/>
      <c r="AC2" s="31"/>
      <c r="AD2" s="31"/>
      <c r="AE2" s="31"/>
      <c r="AF2" s="31"/>
      <c r="AG2" s="31"/>
      <c r="AH2" s="31"/>
      <c r="AI2" s="31"/>
      <c r="AJ2" s="31"/>
      <c r="AK2" s="31"/>
      <c r="AL2" s="31"/>
      <c r="AM2" s="31"/>
      <c r="AN2" s="28"/>
      <c r="AO2" s="30" t="s">
        <v>24</v>
      </c>
    </row>
    <row r="3">
      <c r="A3" s="28"/>
      <c r="B3" s="28"/>
      <c r="C3" s="28"/>
      <c r="D3" s="28"/>
      <c r="E3" s="28"/>
      <c r="F3" s="28"/>
      <c r="G3" s="29"/>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30" t="s">
        <v>25</v>
      </c>
    </row>
    <row r="4" ht="18.75" customHeight="1">
      <c r="A4" s="32" t="s">
        <v>26</v>
      </c>
      <c r="B4" s="22"/>
      <c r="C4" s="22"/>
      <c r="D4" s="22"/>
      <c r="E4" s="22"/>
      <c r="F4" s="22"/>
      <c r="G4" s="16"/>
      <c r="H4" s="33">
        <v>2018.0</v>
      </c>
      <c r="I4" s="22"/>
      <c r="J4" s="22"/>
      <c r="K4" s="22"/>
      <c r="L4" s="22"/>
      <c r="M4" s="22"/>
      <c r="N4" s="22"/>
      <c r="O4" s="22"/>
      <c r="P4" s="22"/>
      <c r="Q4" s="22"/>
      <c r="R4" s="22"/>
      <c r="S4" s="22"/>
      <c r="T4" s="22"/>
      <c r="U4" s="22"/>
      <c r="V4" s="22"/>
      <c r="W4" s="22"/>
      <c r="X4" s="22"/>
      <c r="Y4" s="22"/>
      <c r="Z4" s="22"/>
      <c r="AA4" s="22"/>
      <c r="AB4" s="22"/>
      <c r="AC4" s="22"/>
      <c r="AD4" s="22"/>
      <c r="AE4" s="16"/>
      <c r="AF4" s="33">
        <v>2019.0</v>
      </c>
      <c r="AG4" s="22"/>
      <c r="AH4" s="22"/>
      <c r="AI4" s="22"/>
      <c r="AJ4" s="22"/>
      <c r="AK4" s="22"/>
      <c r="AL4" s="22"/>
      <c r="AM4" s="16"/>
      <c r="AN4" s="28"/>
      <c r="AO4" s="28"/>
    </row>
    <row r="5" ht="18.75" customHeight="1">
      <c r="A5" s="19"/>
      <c r="B5" s="26"/>
      <c r="C5" s="26"/>
      <c r="D5" s="26"/>
      <c r="E5" s="26"/>
      <c r="F5" s="26"/>
      <c r="G5" s="20"/>
      <c r="H5" s="19"/>
      <c r="I5" s="26"/>
      <c r="J5" s="26"/>
      <c r="K5" s="26"/>
      <c r="L5" s="26"/>
      <c r="M5" s="26"/>
      <c r="N5" s="26"/>
      <c r="O5" s="26"/>
      <c r="P5" s="26"/>
      <c r="Q5" s="26"/>
      <c r="R5" s="26"/>
      <c r="S5" s="26"/>
      <c r="T5" s="26"/>
      <c r="U5" s="26"/>
      <c r="V5" s="26"/>
      <c r="W5" s="26"/>
      <c r="X5" s="26"/>
      <c r="Y5" s="26"/>
      <c r="Z5" s="26"/>
      <c r="AA5" s="26"/>
      <c r="AB5" s="26"/>
      <c r="AC5" s="26"/>
      <c r="AD5" s="26"/>
      <c r="AE5" s="20"/>
      <c r="AF5" s="19"/>
      <c r="AG5" s="26"/>
      <c r="AH5" s="26"/>
      <c r="AI5" s="26"/>
      <c r="AJ5" s="26"/>
      <c r="AK5" s="26"/>
      <c r="AL5" s="26"/>
      <c r="AM5" s="20"/>
      <c r="AN5" s="28"/>
      <c r="AO5" s="28"/>
    </row>
    <row r="6" ht="21.75" customHeight="1">
      <c r="A6" s="34" t="s">
        <v>27</v>
      </c>
      <c r="B6" s="34" t="s">
        <v>28</v>
      </c>
      <c r="C6" s="35">
        <f>Y2-X2+Z2</f>
        <v>0</v>
      </c>
      <c r="D6" s="34" t="s">
        <v>29</v>
      </c>
      <c r="E6" s="36" t="s">
        <v>30</v>
      </c>
      <c r="F6" s="3"/>
      <c r="G6" s="37" t="s">
        <v>31</v>
      </c>
      <c r="H6" s="38" t="s">
        <v>32</v>
      </c>
      <c r="I6" s="2"/>
      <c r="J6" s="2"/>
      <c r="K6" s="3"/>
      <c r="L6" s="38" t="s">
        <v>33</v>
      </c>
      <c r="M6" s="2"/>
      <c r="N6" s="2"/>
      <c r="O6" s="3"/>
      <c r="P6" s="38" t="s">
        <v>34</v>
      </c>
      <c r="Q6" s="2"/>
      <c r="R6" s="2"/>
      <c r="S6" s="3"/>
      <c r="T6" s="38" t="s">
        <v>35</v>
      </c>
      <c r="U6" s="2"/>
      <c r="V6" s="2"/>
      <c r="W6" s="3"/>
      <c r="X6" s="38" t="s">
        <v>36</v>
      </c>
      <c r="Y6" s="2"/>
      <c r="Z6" s="2"/>
      <c r="AA6" s="3"/>
      <c r="AB6" s="38" t="s">
        <v>37</v>
      </c>
      <c r="AC6" s="2"/>
      <c r="AD6" s="2"/>
      <c r="AE6" s="3"/>
      <c r="AF6" s="38" t="s">
        <v>38</v>
      </c>
      <c r="AG6" s="2"/>
      <c r="AH6" s="2"/>
      <c r="AI6" s="3"/>
      <c r="AJ6" s="38" t="s">
        <v>39</v>
      </c>
      <c r="AK6" s="2"/>
      <c r="AL6" s="2"/>
      <c r="AM6" s="3"/>
      <c r="AN6" s="28"/>
      <c r="AO6" s="28"/>
    </row>
    <row r="7" ht="29.25" customHeight="1">
      <c r="A7" s="18"/>
      <c r="B7" s="18"/>
      <c r="C7" s="39" t="s">
        <v>40</v>
      </c>
      <c r="D7" s="18"/>
      <c r="E7" s="35" t="s">
        <v>41</v>
      </c>
      <c r="F7" s="35" t="s">
        <v>42</v>
      </c>
      <c r="G7" s="18"/>
      <c r="H7" s="40" t="s">
        <v>43</v>
      </c>
      <c r="I7" s="40" t="s">
        <v>44</v>
      </c>
      <c r="J7" s="40" t="s">
        <v>45</v>
      </c>
      <c r="K7" s="40" t="s">
        <v>46</v>
      </c>
      <c r="L7" s="40" t="s">
        <v>43</v>
      </c>
      <c r="M7" s="40" t="s">
        <v>44</v>
      </c>
      <c r="N7" s="40" t="s">
        <v>45</v>
      </c>
      <c r="O7" s="40" t="s">
        <v>46</v>
      </c>
      <c r="P7" s="40" t="s">
        <v>43</v>
      </c>
      <c r="Q7" s="40" t="s">
        <v>44</v>
      </c>
      <c r="R7" s="40" t="s">
        <v>45</v>
      </c>
      <c r="S7" s="40" t="s">
        <v>46</v>
      </c>
      <c r="T7" s="40" t="s">
        <v>43</v>
      </c>
      <c r="U7" s="40" t="s">
        <v>44</v>
      </c>
      <c r="V7" s="40" t="s">
        <v>45</v>
      </c>
      <c r="W7" s="40" t="s">
        <v>46</v>
      </c>
      <c r="X7" s="40" t="s">
        <v>43</v>
      </c>
      <c r="Y7" s="40" t="s">
        <v>44</v>
      </c>
      <c r="Z7" s="40" t="s">
        <v>45</v>
      </c>
      <c r="AA7" s="40" t="s">
        <v>46</v>
      </c>
      <c r="AB7" s="40" t="s">
        <v>43</v>
      </c>
      <c r="AC7" s="40" t="s">
        <v>44</v>
      </c>
      <c r="AD7" s="40" t="s">
        <v>45</v>
      </c>
      <c r="AE7" s="40" t="s">
        <v>46</v>
      </c>
      <c r="AF7" s="40" t="s">
        <v>43</v>
      </c>
      <c r="AG7" s="40" t="s">
        <v>44</v>
      </c>
      <c r="AH7" s="40" t="s">
        <v>45</v>
      </c>
      <c r="AI7" s="40" t="s">
        <v>46</v>
      </c>
      <c r="AJ7" s="40" t="s">
        <v>43</v>
      </c>
      <c r="AK7" s="40" t="s">
        <v>44</v>
      </c>
      <c r="AL7" s="40" t="s">
        <v>45</v>
      </c>
      <c r="AM7" s="40" t="s">
        <v>46</v>
      </c>
      <c r="AN7" s="28"/>
      <c r="AO7" s="28"/>
    </row>
    <row r="8">
      <c r="A8" s="41" t="s">
        <v>47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8"/>
      <c r="AO8" s="28"/>
    </row>
    <row r="9" ht="15.0" customHeight="1">
      <c r="A9" s="42" t="s">
        <v>48</v>
      </c>
      <c r="B9" s="43" t="s">
        <v>49</v>
      </c>
      <c r="C9" s="44"/>
      <c r="D9" s="30" t="s">
        <v>25</v>
      </c>
      <c r="E9" s="30" t="s">
        <v>50</v>
      </c>
      <c r="F9" s="30"/>
      <c r="G9" s="45"/>
      <c r="H9" s="46"/>
      <c r="I9" s="47"/>
      <c r="J9" s="47"/>
      <c r="K9" s="47"/>
      <c r="L9" s="47"/>
      <c r="M9" s="47"/>
      <c r="N9" s="48"/>
      <c r="O9" s="48"/>
      <c r="P9" s="47"/>
      <c r="Q9" s="47"/>
      <c r="R9" s="47"/>
      <c r="S9" s="47"/>
      <c r="T9" s="47"/>
      <c r="U9" s="47"/>
      <c r="V9" s="47"/>
      <c r="W9" s="47"/>
      <c r="X9" s="47"/>
      <c r="Y9" s="47"/>
      <c r="Z9" s="47"/>
      <c r="AA9" s="47"/>
      <c r="AB9" s="47"/>
      <c r="AC9" s="47"/>
      <c r="AD9" s="47"/>
      <c r="AE9" s="47"/>
      <c r="AF9" s="47"/>
      <c r="AG9" s="47"/>
      <c r="AH9" s="47"/>
      <c r="AI9" s="47"/>
      <c r="AJ9" s="47"/>
      <c r="AK9" s="47"/>
      <c r="AL9" s="47"/>
      <c r="AM9" s="47"/>
      <c r="AN9" s="28"/>
      <c r="AO9" s="28"/>
    </row>
    <row r="10">
      <c r="A10" s="42" t="s">
        <v>51</v>
      </c>
      <c r="B10" s="43" t="s">
        <v>52</v>
      </c>
      <c r="C10" s="44"/>
      <c r="D10" s="30" t="s">
        <v>25</v>
      </c>
      <c r="E10" s="30"/>
      <c r="F10" s="30"/>
      <c r="G10" s="45"/>
      <c r="H10" s="46"/>
      <c r="I10" s="46"/>
      <c r="J10" s="47"/>
      <c r="K10" s="47"/>
      <c r="L10" s="47"/>
      <c r="M10" s="47"/>
      <c r="N10" s="48"/>
      <c r="O10" s="48"/>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28"/>
      <c r="AO10" s="28"/>
    </row>
    <row r="11">
      <c r="A11" s="42" t="s">
        <v>53</v>
      </c>
      <c r="B11" s="43" t="s">
        <v>54</v>
      </c>
      <c r="C11" s="44"/>
      <c r="D11" s="30" t="s">
        <v>25</v>
      </c>
      <c r="E11" s="30"/>
      <c r="F11" s="30"/>
      <c r="G11" s="45"/>
      <c r="H11" s="47"/>
      <c r="I11" s="46"/>
      <c r="J11" s="47"/>
      <c r="K11" s="47"/>
      <c r="L11" s="47"/>
      <c r="M11" s="47"/>
      <c r="N11" s="48"/>
      <c r="O11" s="48"/>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28"/>
      <c r="AO11" s="28"/>
    </row>
    <row r="12">
      <c r="A12" s="42" t="s">
        <v>55</v>
      </c>
      <c r="B12" s="43" t="s">
        <v>56</v>
      </c>
      <c r="C12" s="44"/>
      <c r="D12" s="30" t="s">
        <v>22</v>
      </c>
      <c r="E12" s="30"/>
      <c r="F12" s="30"/>
      <c r="G12" s="45"/>
      <c r="H12" s="47"/>
      <c r="I12" s="46"/>
      <c r="J12" s="46"/>
      <c r="K12" s="46"/>
      <c r="L12" s="47"/>
      <c r="M12" s="47"/>
      <c r="N12" s="48"/>
      <c r="O12" s="48"/>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28"/>
      <c r="AO12" s="28"/>
    </row>
    <row r="13">
      <c r="A13" s="42" t="s">
        <v>57</v>
      </c>
      <c r="B13" s="43" t="s">
        <v>58</v>
      </c>
      <c r="C13" s="44"/>
      <c r="D13" s="30" t="s">
        <v>25</v>
      </c>
      <c r="E13" s="30"/>
      <c r="F13" s="30"/>
      <c r="G13" s="45"/>
      <c r="H13" s="47"/>
      <c r="I13" s="46"/>
      <c r="J13" s="46"/>
      <c r="K13" s="46"/>
      <c r="L13" s="47"/>
      <c r="M13" s="47"/>
      <c r="N13" s="48"/>
      <c r="O13" s="48"/>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28"/>
      <c r="AO13" s="28"/>
    </row>
    <row r="14">
      <c r="A14" s="42" t="s">
        <v>59</v>
      </c>
      <c r="B14" s="43" t="s">
        <v>60</v>
      </c>
      <c r="C14" s="44"/>
      <c r="D14" s="30" t="s">
        <v>22</v>
      </c>
      <c r="E14" s="30"/>
      <c r="F14" s="30"/>
      <c r="G14" s="45"/>
      <c r="H14" s="47"/>
      <c r="I14" s="46"/>
      <c r="J14" s="46"/>
      <c r="K14" s="46"/>
      <c r="L14" s="47"/>
      <c r="M14" s="47"/>
      <c r="N14" s="48"/>
      <c r="O14" s="48"/>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28"/>
      <c r="AO14" s="28"/>
    </row>
    <row r="15">
      <c r="A15" s="42" t="s">
        <v>61</v>
      </c>
      <c r="B15" s="43" t="s">
        <v>62</v>
      </c>
      <c r="C15" s="44"/>
      <c r="D15" s="30" t="s">
        <v>24</v>
      </c>
      <c r="E15" s="30"/>
      <c r="F15" s="30"/>
      <c r="G15" s="45"/>
      <c r="H15" s="47"/>
      <c r="I15" s="47"/>
      <c r="J15" s="46"/>
      <c r="K15" s="46"/>
      <c r="L15" s="47"/>
      <c r="M15" s="47"/>
      <c r="N15" s="48"/>
      <c r="O15" s="48"/>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28"/>
      <c r="AO15" s="28"/>
    </row>
    <row r="16">
      <c r="A16" s="41" t="s">
        <v>63</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8"/>
      <c r="AO16" s="28"/>
    </row>
    <row r="17">
      <c r="A17" s="42" t="s">
        <v>64</v>
      </c>
      <c r="B17" s="42" t="s">
        <v>65</v>
      </c>
      <c r="C17" s="44"/>
      <c r="D17" s="30" t="s">
        <v>22</v>
      </c>
      <c r="E17" s="30" t="s">
        <v>50</v>
      </c>
      <c r="F17" s="30"/>
      <c r="G17" s="45"/>
      <c r="H17" s="47"/>
      <c r="I17" s="47"/>
      <c r="J17" s="47"/>
      <c r="K17" s="47"/>
      <c r="L17" s="47"/>
      <c r="M17" s="47"/>
      <c r="N17" s="48"/>
      <c r="O17" s="48"/>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28"/>
      <c r="AO17" s="28"/>
    </row>
    <row r="18">
      <c r="A18" s="42" t="s">
        <v>66</v>
      </c>
      <c r="B18" s="42" t="s">
        <v>67</v>
      </c>
      <c r="C18" s="44"/>
      <c r="D18" s="30" t="s">
        <v>22</v>
      </c>
      <c r="E18" s="30" t="s">
        <v>50</v>
      </c>
      <c r="F18" s="30"/>
      <c r="G18" s="45"/>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7"/>
      <c r="AG18" s="47"/>
      <c r="AH18" s="47"/>
      <c r="AI18" s="47"/>
      <c r="AJ18" s="47"/>
      <c r="AK18" s="47"/>
      <c r="AL18" s="47"/>
      <c r="AM18" s="47"/>
      <c r="AN18" s="28"/>
      <c r="AO18" s="28"/>
    </row>
    <row r="19">
      <c r="A19" s="42" t="s">
        <v>68</v>
      </c>
      <c r="B19" s="43" t="s">
        <v>69</v>
      </c>
      <c r="C19" s="44"/>
      <c r="D19" s="30" t="s">
        <v>22</v>
      </c>
      <c r="E19" s="30" t="s">
        <v>50</v>
      </c>
      <c r="F19" s="30"/>
      <c r="G19" s="45"/>
      <c r="H19" s="47"/>
      <c r="I19" s="47"/>
      <c r="J19" s="47"/>
      <c r="K19" s="47"/>
      <c r="L19" s="47"/>
      <c r="M19" s="47"/>
      <c r="N19" s="48"/>
      <c r="O19" s="48"/>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28"/>
      <c r="AO19" s="28"/>
    </row>
    <row r="20">
      <c r="A20" s="42" t="s">
        <v>70</v>
      </c>
      <c r="B20" s="43" t="s">
        <v>71</v>
      </c>
      <c r="C20" s="44"/>
      <c r="D20" s="30" t="s">
        <v>24</v>
      </c>
      <c r="E20" s="30"/>
      <c r="F20" s="30"/>
      <c r="G20" s="45"/>
      <c r="H20" s="47"/>
      <c r="I20" s="47"/>
      <c r="J20" s="47"/>
      <c r="K20" s="47"/>
      <c r="L20" s="47"/>
      <c r="M20" s="47"/>
      <c r="N20" s="48"/>
      <c r="O20" s="48"/>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28"/>
      <c r="AO20" s="28"/>
    </row>
    <row r="21" ht="15.75" customHeight="1">
      <c r="A21" s="42" t="s">
        <v>72</v>
      </c>
      <c r="B21" s="43" t="s">
        <v>73</v>
      </c>
      <c r="C21" s="44"/>
      <c r="D21" s="30" t="s">
        <v>24</v>
      </c>
      <c r="E21" s="30" t="s">
        <v>50</v>
      </c>
      <c r="F21" s="30"/>
      <c r="G21" s="45"/>
      <c r="H21" s="47"/>
      <c r="I21" s="47"/>
      <c r="J21" s="47"/>
      <c r="K21" s="47"/>
      <c r="L21" s="47"/>
      <c r="M21" s="47"/>
      <c r="N21" s="48"/>
      <c r="O21" s="48"/>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28"/>
      <c r="AO21" s="28"/>
    </row>
    <row r="22" ht="15.0" customHeight="1">
      <c r="A22" s="41" t="s">
        <v>74</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8"/>
      <c r="AO22" s="28"/>
    </row>
    <row r="23" ht="31.5" customHeight="1">
      <c r="A23" s="42" t="s">
        <v>75</v>
      </c>
      <c r="B23" s="42" t="s">
        <v>76</v>
      </c>
      <c r="C23" s="44"/>
      <c r="D23" s="30" t="s">
        <v>24</v>
      </c>
      <c r="E23" s="30" t="s">
        <v>50</v>
      </c>
      <c r="F23" s="30"/>
      <c r="G23" s="45"/>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28"/>
      <c r="AO23" s="28"/>
    </row>
    <row r="24" ht="15.75" customHeight="1">
      <c r="A24" s="42" t="s">
        <v>77</v>
      </c>
      <c r="B24" s="42" t="s">
        <v>78</v>
      </c>
      <c r="C24" s="44"/>
      <c r="D24" s="30" t="s">
        <v>24</v>
      </c>
      <c r="E24" s="30" t="s">
        <v>50</v>
      </c>
      <c r="F24" s="30"/>
      <c r="G24" s="45"/>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28"/>
      <c r="AO24" s="28"/>
    </row>
    <row r="25" ht="18.0" customHeight="1">
      <c r="A25" s="42" t="s">
        <v>79</v>
      </c>
      <c r="B25" s="43" t="s">
        <v>80</v>
      </c>
      <c r="C25" s="44"/>
      <c r="D25" s="30" t="s">
        <v>24</v>
      </c>
      <c r="E25" s="30" t="s">
        <v>50</v>
      </c>
      <c r="F25" s="30"/>
      <c r="G25" s="45"/>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28"/>
      <c r="AO25" s="28"/>
    </row>
    <row r="26" ht="19.5" customHeight="1">
      <c r="A26" s="42" t="s">
        <v>81</v>
      </c>
      <c r="B26" s="43" t="s">
        <v>82</v>
      </c>
      <c r="C26" s="44"/>
      <c r="D26" s="30" t="s">
        <v>24</v>
      </c>
      <c r="E26" s="30" t="s">
        <v>50</v>
      </c>
      <c r="F26" s="30"/>
      <c r="G26" s="45"/>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28"/>
      <c r="AO26" s="28"/>
    </row>
    <row r="27" ht="20.25" customHeight="1">
      <c r="A27" s="42" t="s">
        <v>83</v>
      </c>
      <c r="B27" s="49" t="s">
        <v>84</v>
      </c>
      <c r="C27" s="50"/>
      <c r="D27" s="30" t="s">
        <v>24</v>
      </c>
      <c r="E27" s="30" t="s">
        <v>50</v>
      </c>
      <c r="F27" s="30"/>
      <c r="G27" s="45"/>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28"/>
      <c r="AO27" s="28"/>
    </row>
    <row r="28" ht="15.75" customHeight="1">
      <c r="A28" s="41" t="s">
        <v>85</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8"/>
      <c r="AO28" s="28"/>
    </row>
    <row r="29" ht="15.75" customHeight="1">
      <c r="A29" s="42" t="s">
        <v>75</v>
      </c>
      <c r="B29" s="42"/>
      <c r="C29" s="44"/>
      <c r="D29" s="30" t="s">
        <v>24</v>
      </c>
      <c r="E29" s="30" t="s">
        <v>50</v>
      </c>
      <c r="F29" s="30"/>
      <c r="G29" s="45"/>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28"/>
      <c r="AO29" s="28"/>
    </row>
    <row r="30" ht="15.75" customHeight="1">
      <c r="A30" s="42" t="s">
        <v>77</v>
      </c>
      <c r="B30" s="43"/>
      <c r="C30" s="44"/>
      <c r="D30" s="30" t="s">
        <v>24</v>
      </c>
      <c r="E30" s="30" t="s">
        <v>50</v>
      </c>
      <c r="F30" s="30"/>
      <c r="G30" s="45"/>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28"/>
      <c r="AO30" s="28"/>
    </row>
    <row r="31" ht="15.75" customHeight="1">
      <c r="A31" s="42" t="s">
        <v>79</v>
      </c>
      <c r="B31" s="43"/>
      <c r="C31" s="44"/>
      <c r="D31" s="30" t="s">
        <v>24</v>
      </c>
      <c r="E31" s="30" t="s">
        <v>50</v>
      </c>
      <c r="F31" s="30"/>
      <c r="G31" s="45"/>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28"/>
      <c r="AO31" s="28"/>
    </row>
    <row r="32" ht="15.75" customHeight="1">
      <c r="A32" s="42" t="s">
        <v>81</v>
      </c>
      <c r="B32" s="43"/>
      <c r="C32" s="44"/>
      <c r="D32" s="30" t="s">
        <v>24</v>
      </c>
      <c r="E32" s="30" t="s">
        <v>50</v>
      </c>
      <c r="F32" s="30"/>
      <c r="G32" s="45"/>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28"/>
      <c r="AO32" s="28"/>
    </row>
    <row r="33" ht="15.75" customHeight="1">
      <c r="A33" s="41" t="s">
        <v>86</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8"/>
      <c r="AO33" s="28"/>
    </row>
    <row r="34" ht="15.75" customHeight="1">
      <c r="A34" s="42" t="s">
        <v>75</v>
      </c>
      <c r="B34" s="42" t="s">
        <v>87</v>
      </c>
      <c r="C34" s="44"/>
      <c r="D34" s="30" t="s">
        <v>24</v>
      </c>
      <c r="E34" s="30" t="s">
        <v>50</v>
      </c>
      <c r="F34" s="30"/>
      <c r="G34" s="45"/>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28"/>
      <c r="AO34" s="28"/>
    </row>
    <row r="35" ht="15.75" customHeight="1">
      <c r="A35" s="42" t="s">
        <v>77</v>
      </c>
      <c r="B35" s="51" t="s">
        <v>88</v>
      </c>
      <c r="C35" s="44"/>
      <c r="D35" s="30" t="s">
        <v>24</v>
      </c>
      <c r="E35" s="30" t="s">
        <v>50</v>
      </c>
      <c r="F35" s="30"/>
      <c r="G35" s="45"/>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28"/>
      <c r="AO35" s="28"/>
    </row>
    <row r="36" ht="15.75" customHeight="1">
      <c r="A36" s="42" t="s">
        <v>79</v>
      </c>
      <c r="B36" s="42" t="s">
        <v>89</v>
      </c>
      <c r="C36" s="44"/>
      <c r="D36" s="30" t="s">
        <v>24</v>
      </c>
      <c r="E36" s="30" t="s">
        <v>50</v>
      </c>
      <c r="F36" s="30"/>
      <c r="G36" s="45"/>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28"/>
      <c r="AO36" s="28"/>
    </row>
    <row r="37" ht="15.75" customHeight="1">
      <c r="A37" s="42" t="s">
        <v>81</v>
      </c>
      <c r="B37" s="43" t="s">
        <v>90</v>
      </c>
      <c r="C37" s="44"/>
      <c r="D37" s="30" t="s">
        <v>24</v>
      </c>
      <c r="E37" s="30" t="s">
        <v>50</v>
      </c>
      <c r="F37" s="30"/>
      <c r="G37" s="45"/>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28"/>
      <c r="AO37" s="28"/>
    </row>
    <row r="38" ht="15.75" customHeight="1">
      <c r="A38" s="28"/>
      <c r="B38" s="28"/>
      <c r="C38" s="28"/>
      <c r="D38" s="28"/>
      <c r="E38" s="28"/>
      <c r="F38" s="28"/>
      <c r="G38" s="29"/>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row>
    <row r="39" ht="15.75" customHeight="1">
      <c r="A39" s="28"/>
      <c r="B39" s="28"/>
      <c r="C39" s="28"/>
      <c r="D39" s="28"/>
      <c r="E39" s="28"/>
      <c r="F39" s="28"/>
      <c r="G39" s="29"/>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row>
    <row r="40" ht="15.75" customHeight="1">
      <c r="A40" s="28"/>
      <c r="B40" s="28"/>
      <c r="C40" s="28"/>
      <c r="D40" s="28"/>
      <c r="E40" s="28"/>
      <c r="F40" s="28"/>
      <c r="G40" s="29"/>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row>
    <row r="41" ht="15.75" customHeight="1">
      <c r="A41" s="28"/>
      <c r="B41" s="28"/>
      <c r="C41" s="28"/>
      <c r="D41" s="28"/>
      <c r="E41" s="28"/>
      <c r="F41" s="28"/>
      <c r="G41" s="29"/>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row>
    <row r="42" ht="15.75" customHeight="1">
      <c r="A42" s="28"/>
      <c r="B42" s="28"/>
      <c r="C42" s="28"/>
      <c r="D42" s="28"/>
      <c r="E42" s="28"/>
      <c r="F42" s="28"/>
      <c r="G42" s="29"/>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row>
    <row r="43" ht="15.75" customHeight="1">
      <c r="A43" s="28"/>
      <c r="B43" s="28"/>
      <c r="C43" s="28"/>
      <c r="D43" s="28"/>
      <c r="E43" s="28"/>
      <c r="F43" s="28"/>
      <c r="G43" s="29"/>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row>
    <row r="44" ht="15.75" customHeight="1">
      <c r="A44" s="28"/>
      <c r="B44" s="28"/>
      <c r="C44" s="28"/>
      <c r="D44" s="28"/>
      <c r="E44" s="28"/>
      <c r="F44" s="28"/>
      <c r="G44" s="29"/>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row>
    <row r="45" ht="15.75" customHeight="1">
      <c r="A45" s="28"/>
      <c r="B45" s="28"/>
      <c r="C45" s="28"/>
      <c r="D45" s="28"/>
      <c r="E45" s="28"/>
      <c r="F45" s="28"/>
      <c r="G45" s="29"/>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row>
    <row r="46" ht="15.75" customHeight="1">
      <c r="A46" s="28"/>
      <c r="B46" s="28"/>
      <c r="C46" s="28"/>
      <c r="D46" s="28"/>
      <c r="E46" s="28"/>
      <c r="F46" s="28"/>
      <c r="G46" s="29"/>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row>
    <row r="47" ht="15.75" customHeight="1">
      <c r="A47" s="28"/>
      <c r="B47" s="28"/>
      <c r="C47" s="28"/>
      <c r="D47" s="28"/>
      <c r="E47" s="28"/>
      <c r="F47" s="28"/>
      <c r="G47" s="29"/>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row>
    <row r="48" ht="15.75" customHeight="1">
      <c r="A48" s="28"/>
      <c r="B48" s="28"/>
      <c r="C48" s="28"/>
      <c r="D48" s="28"/>
      <c r="E48" s="28"/>
      <c r="F48" s="28"/>
      <c r="G48" s="29"/>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row>
    <row r="49" ht="15.75" customHeight="1">
      <c r="A49" s="28"/>
      <c r="B49" s="28"/>
      <c r="C49" s="28"/>
      <c r="D49" s="28"/>
      <c r="E49" s="28"/>
      <c r="F49" s="28"/>
      <c r="G49" s="29"/>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row>
    <row r="50" ht="15.75" customHeight="1">
      <c r="A50" s="28"/>
      <c r="B50" s="28"/>
      <c r="C50" s="28"/>
      <c r="D50" s="28"/>
      <c r="E50" s="28"/>
      <c r="F50" s="28"/>
      <c r="G50" s="29"/>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row>
    <row r="51" ht="15.75" customHeight="1">
      <c r="A51" s="28"/>
      <c r="B51" s="28"/>
      <c r="C51" s="28"/>
      <c r="D51" s="28"/>
      <c r="E51" s="28"/>
      <c r="F51" s="28"/>
      <c r="G51" s="29"/>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row>
    <row r="52" ht="15.75" customHeight="1">
      <c r="A52" s="28"/>
      <c r="B52" s="28"/>
      <c r="C52" s="28"/>
      <c r="D52" s="28"/>
      <c r="E52" s="28"/>
      <c r="F52" s="28"/>
      <c r="G52" s="29"/>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row>
    <row r="53" ht="15.75" customHeight="1">
      <c r="A53" s="28"/>
      <c r="B53" s="28"/>
      <c r="C53" s="28"/>
      <c r="D53" s="28"/>
      <c r="E53" s="28"/>
      <c r="F53" s="28"/>
      <c r="G53" s="29"/>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row>
    <row r="54" ht="15.75" customHeight="1">
      <c r="A54" s="28"/>
      <c r="B54" s="28"/>
      <c r="C54" s="28"/>
      <c r="D54" s="28"/>
      <c r="E54" s="28"/>
      <c r="F54" s="28"/>
      <c r="G54" s="29"/>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row>
    <row r="55" ht="15.75" customHeight="1">
      <c r="A55" s="28"/>
      <c r="B55" s="28"/>
      <c r="C55" s="28"/>
      <c r="D55" s="28"/>
      <c r="E55" s="28"/>
      <c r="F55" s="28"/>
      <c r="G55" s="29"/>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row>
    <row r="56" ht="15.75" customHeight="1">
      <c r="A56" s="28"/>
      <c r="B56" s="28"/>
      <c r="C56" s="28"/>
      <c r="D56" s="28"/>
      <c r="E56" s="28"/>
      <c r="F56" s="28"/>
      <c r="G56" s="29"/>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row>
    <row r="57" ht="15.75" customHeight="1">
      <c r="A57" s="28"/>
      <c r="B57" s="28"/>
      <c r="C57" s="28"/>
      <c r="D57" s="28"/>
      <c r="E57" s="28"/>
      <c r="F57" s="28"/>
      <c r="G57" s="29"/>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row>
    <row r="58" ht="15.75" customHeight="1">
      <c r="A58" s="28"/>
      <c r="B58" s="28"/>
      <c r="C58" s="28"/>
      <c r="D58" s="28"/>
      <c r="E58" s="28"/>
      <c r="F58" s="28"/>
      <c r="G58" s="29"/>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row>
    <row r="59" ht="15.75" customHeight="1">
      <c r="A59" s="28"/>
      <c r="B59" s="28"/>
      <c r="C59" s="28"/>
      <c r="D59" s="28"/>
      <c r="E59" s="28"/>
      <c r="F59" s="28"/>
      <c r="G59" s="29"/>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row>
    <row r="60" ht="15.75" customHeight="1">
      <c r="A60" s="28"/>
      <c r="B60" s="28"/>
      <c r="C60" s="28"/>
      <c r="D60" s="28"/>
      <c r="E60" s="28"/>
      <c r="F60" s="28"/>
      <c r="G60" s="29"/>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row>
    <row r="61" ht="15.75" customHeight="1">
      <c r="A61" s="28"/>
      <c r="B61" s="28"/>
      <c r="C61" s="28"/>
      <c r="D61" s="28"/>
      <c r="E61" s="28"/>
      <c r="F61" s="28"/>
      <c r="G61" s="29"/>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row>
    <row r="62" ht="15.75" customHeight="1">
      <c r="A62" s="28"/>
      <c r="B62" s="28"/>
      <c r="C62" s="28"/>
      <c r="D62" s="28"/>
      <c r="E62" s="28"/>
      <c r="F62" s="28"/>
      <c r="G62" s="29"/>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row>
    <row r="63" ht="15.75" customHeight="1">
      <c r="A63" s="28"/>
      <c r="B63" s="28"/>
      <c r="C63" s="28"/>
      <c r="D63" s="28"/>
      <c r="E63" s="28"/>
      <c r="F63" s="28"/>
      <c r="G63" s="29"/>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row>
    <row r="64" ht="15.75" customHeight="1">
      <c r="A64" s="28"/>
      <c r="B64" s="28"/>
      <c r="C64" s="28"/>
      <c r="D64" s="28"/>
      <c r="E64" s="28"/>
      <c r="F64" s="28"/>
      <c r="G64" s="29"/>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row>
    <row r="65" ht="15.75" customHeight="1">
      <c r="A65" s="28"/>
      <c r="B65" s="28"/>
      <c r="C65" s="28"/>
      <c r="D65" s="28"/>
      <c r="E65" s="28"/>
      <c r="F65" s="28"/>
      <c r="G65" s="29"/>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row>
    <row r="66" ht="15.75" customHeight="1">
      <c r="A66" s="28"/>
      <c r="B66" s="28"/>
      <c r="C66" s="28"/>
      <c r="D66" s="28"/>
      <c r="E66" s="28"/>
      <c r="F66" s="28"/>
      <c r="G66" s="29"/>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row>
    <row r="67" ht="15.75" customHeight="1">
      <c r="A67" s="28"/>
      <c r="B67" s="28"/>
      <c r="C67" s="28"/>
      <c r="D67" s="28"/>
      <c r="E67" s="28"/>
      <c r="F67" s="28"/>
      <c r="G67" s="29"/>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row>
    <row r="68" ht="15.75" customHeight="1">
      <c r="A68" s="28"/>
      <c r="B68" s="28"/>
      <c r="C68" s="28"/>
      <c r="D68" s="28"/>
      <c r="E68" s="28"/>
      <c r="F68" s="28"/>
      <c r="G68" s="29"/>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row>
    <row r="69" ht="15.75" customHeight="1">
      <c r="A69" s="28"/>
      <c r="B69" s="28"/>
      <c r="C69" s="28"/>
      <c r="D69" s="28"/>
      <c r="E69" s="28"/>
      <c r="F69" s="28"/>
      <c r="G69" s="29"/>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row>
    <row r="70" ht="15.75" customHeight="1">
      <c r="A70" s="28"/>
      <c r="B70" s="28"/>
      <c r="C70" s="28"/>
      <c r="D70" s="28"/>
      <c r="E70" s="28"/>
      <c r="F70" s="28"/>
      <c r="G70" s="29"/>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row>
    <row r="71" ht="15.75" customHeight="1">
      <c r="A71" s="28"/>
      <c r="B71" s="28"/>
      <c r="C71" s="28"/>
      <c r="D71" s="28"/>
      <c r="E71" s="28"/>
      <c r="F71" s="28"/>
      <c r="G71" s="29"/>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row>
    <row r="72" ht="15.75" customHeight="1">
      <c r="A72" s="28"/>
      <c r="B72" s="28"/>
      <c r="C72" s="28"/>
      <c r="D72" s="28"/>
      <c r="E72" s="28"/>
      <c r="F72" s="28"/>
      <c r="G72" s="29"/>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row>
    <row r="73" ht="15.75" customHeight="1">
      <c r="A73" s="28"/>
      <c r="B73" s="28"/>
      <c r="C73" s="28"/>
      <c r="D73" s="28"/>
      <c r="E73" s="28"/>
      <c r="F73" s="28"/>
      <c r="G73" s="29"/>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row>
    <row r="74" ht="15.75" customHeight="1">
      <c r="A74" s="28"/>
      <c r="B74" s="28"/>
      <c r="C74" s="28"/>
      <c r="D74" s="28"/>
      <c r="E74" s="28"/>
      <c r="F74" s="28"/>
      <c r="G74" s="29"/>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row>
    <row r="75" ht="15.75" customHeight="1">
      <c r="A75" s="28"/>
      <c r="B75" s="28"/>
      <c r="C75" s="28"/>
      <c r="D75" s="28"/>
      <c r="E75" s="28"/>
      <c r="F75" s="28"/>
      <c r="G75" s="29"/>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row>
    <row r="76" ht="15.75" customHeight="1">
      <c r="A76" s="28"/>
      <c r="B76" s="28"/>
      <c r="C76" s="28"/>
      <c r="D76" s="28"/>
      <c r="E76" s="28"/>
      <c r="F76" s="28"/>
      <c r="G76" s="29"/>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row>
    <row r="77" ht="15.75" customHeight="1">
      <c r="A77" s="28"/>
      <c r="B77" s="28"/>
      <c r="C77" s="28"/>
      <c r="D77" s="28"/>
      <c r="E77" s="28"/>
      <c r="F77" s="28"/>
      <c r="G77" s="29"/>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row>
    <row r="78" ht="15.75" customHeight="1">
      <c r="A78" s="28"/>
      <c r="B78" s="28"/>
      <c r="C78" s="28"/>
      <c r="D78" s="28"/>
      <c r="E78" s="28"/>
      <c r="F78" s="28"/>
      <c r="G78" s="29"/>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row>
    <row r="79" ht="15.75" customHeight="1">
      <c r="A79" s="28"/>
      <c r="B79" s="28"/>
      <c r="C79" s="28"/>
      <c r="D79" s="28"/>
      <c r="E79" s="28"/>
      <c r="F79" s="28"/>
      <c r="G79" s="29"/>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row>
    <row r="80" ht="15.75" customHeight="1">
      <c r="A80" s="28"/>
      <c r="B80" s="28"/>
      <c r="C80" s="28"/>
      <c r="D80" s="28"/>
      <c r="E80" s="28"/>
      <c r="F80" s="28"/>
      <c r="G80" s="29"/>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row>
    <row r="81" ht="15.75" customHeight="1">
      <c r="A81" s="28"/>
      <c r="B81" s="28"/>
      <c r="C81" s="28"/>
      <c r="D81" s="28"/>
      <c r="E81" s="28"/>
      <c r="F81" s="28"/>
      <c r="G81" s="29"/>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row>
    <row r="82" ht="15.75" customHeight="1">
      <c r="A82" s="28"/>
      <c r="B82" s="28"/>
      <c r="C82" s="28"/>
      <c r="D82" s="28"/>
      <c r="E82" s="28"/>
      <c r="F82" s="28"/>
      <c r="G82" s="29"/>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row>
    <row r="83" ht="15.75" customHeight="1">
      <c r="A83" s="28"/>
      <c r="B83" s="28"/>
      <c r="C83" s="28"/>
      <c r="D83" s="28"/>
      <c r="E83" s="28"/>
      <c r="F83" s="28"/>
      <c r="G83" s="29"/>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row>
    <row r="84" ht="15.75" customHeight="1">
      <c r="A84" s="28"/>
      <c r="B84" s="28"/>
      <c r="C84" s="28"/>
      <c r="D84" s="28"/>
      <c r="E84" s="28"/>
      <c r="F84" s="28"/>
      <c r="G84" s="29"/>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row>
    <row r="85" ht="15.75" customHeight="1">
      <c r="A85" s="28"/>
      <c r="B85" s="28"/>
      <c r="C85" s="28"/>
      <c r="D85" s="28"/>
      <c r="E85" s="28"/>
      <c r="F85" s="28"/>
      <c r="G85" s="29"/>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row>
    <row r="86" ht="15.75" customHeight="1">
      <c r="A86" s="28"/>
      <c r="B86" s="28"/>
      <c r="C86" s="28"/>
      <c r="D86" s="28"/>
      <c r="E86" s="28"/>
      <c r="F86" s="28"/>
      <c r="G86" s="29"/>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row>
    <row r="87" ht="15.75" customHeight="1">
      <c r="A87" s="28"/>
      <c r="B87" s="28"/>
      <c r="C87" s="28"/>
      <c r="D87" s="28"/>
      <c r="E87" s="28"/>
      <c r="F87" s="28"/>
      <c r="G87" s="29"/>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row>
    <row r="88" ht="15.75" customHeight="1">
      <c r="A88" s="28"/>
      <c r="B88" s="28"/>
      <c r="C88" s="28"/>
      <c r="D88" s="28"/>
      <c r="E88" s="28"/>
      <c r="F88" s="28"/>
      <c r="G88" s="29"/>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row>
    <row r="89" ht="15.75" customHeight="1">
      <c r="A89" s="28"/>
      <c r="B89" s="28"/>
      <c r="C89" s="28"/>
      <c r="D89" s="28"/>
      <c r="E89" s="28"/>
      <c r="F89" s="28"/>
      <c r="G89" s="29"/>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row>
    <row r="90" ht="15.75" customHeight="1">
      <c r="A90" s="28"/>
      <c r="B90" s="28"/>
      <c r="C90" s="28"/>
      <c r="D90" s="28"/>
      <c r="E90" s="28"/>
      <c r="F90" s="28"/>
      <c r="G90" s="29"/>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row>
    <row r="91" ht="15.75" customHeight="1">
      <c r="A91" s="28"/>
      <c r="B91" s="28"/>
      <c r="C91" s="28"/>
      <c r="D91" s="28"/>
      <c r="E91" s="28"/>
      <c r="F91" s="28"/>
      <c r="G91" s="29"/>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row>
    <row r="92" ht="15.75" customHeight="1">
      <c r="A92" s="28"/>
      <c r="B92" s="28"/>
      <c r="C92" s="28"/>
      <c r="D92" s="28"/>
      <c r="E92" s="28"/>
      <c r="F92" s="28"/>
      <c r="G92" s="29"/>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row>
    <row r="93" ht="15.75" customHeight="1">
      <c r="A93" s="28"/>
      <c r="B93" s="28"/>
      <c r="C93" s="28"/>
      <c r="D93" s="28"/>
      <c r="E93" s="28"/>
      <c r="F93" s="28"/>
      <c r="G93" s="29"/>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row>
    <row r="94" ht="15.75" customHeight="1">
      <c r="A94" s="28"/>
      <c r="B94" s="28"/>
      <c r="C94" s="28"/>
      <c r="D94" s="28"/>
      <c r="E94" s="28"/>
      <c r="F94" s="28"/>
      <c r="G94" s="29"/>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row>
    <row r="95" ht="15.75" customHeight="1">
      <c r="A95" s="28"/>
      <c r="B95" s="28"/>
      <c r="C95" s="28"/>
      <c r="D95" s="28"/>
      <c r="E95" s="28"/>
      <c r="F95" s="28"/>
      <c r="G95" s="29"/>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row>
    <row r="96" ht="15.75" customHeight="1">
      <c r="A96" s="28"/>
      <c r="B96" s="28"/>
      <c r="C96" s="28"/>
      <c r="D96" s="28"/>
      <c r="E96" s="28"/>
      <c r="F96" s="28"/>
      <c r="G96" s="29"/>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row>
    <row r="97" ht="15.75" customHeight="1">
      <c r="A97" s="28"/>
      <c r="B97" s="28"/>
      <c r="C97" s="28"/>
      <c r="D97" s="28"/>
      <c r="E97" s="28"/>
      <c r="F97" s="28"/>
      <c r="G97" s="29"/>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row>
    <row r="98" ht="15.75" customHeight="1">
      <c r="A98" s="28"/>
      <c r="B98" s="28"/>
      <c r="C98" s="28"/>
      <c r="D98" s="28"/>
      <c r="E98" s="28"/>
      <c r="F98" s="28"/>
      <c r="G98" s="29"/>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row>
    <row r="99" ht="15.75" customHeight="1">
      <c r="A99" s="28"/>
      <c r="B99" s="28"/>
      <c r="C99" s="28"/>
      <c r="D99" s="28"/>
      <c r="E99" s="28"/>
      <c r="F99" s="28"/>
      <c r="G99" s="29"/>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row>
    <row r="100" ht="15.75" customHeight="1">
      <c r="A100" s="28"/>
      <c r="B100" s="28"/>
      <c r="C100" s="28"/>
      <c r="D100" s="28"/>
      <c r="E100" s="28"/>
      <c r="F100" s="28"/>
      <c r="G100" s="29"/>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row>
    <row r="101" ht="15.75" customHeight="1">
      <c r="A101" s="28"/>
      <c r="B101" s="28"/>
      <c r="C101" s="28"/>
      <c r="D101" s="28"/>
      <c r="E101" s="28"/>
      <c r="F101" s="28"/>
      <c r="G101" s="29"/>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row>
    <row r="102" ht="15.75" customHeight="1">
      <c r="A102" s="28"/>
      <c r="B102" s="28"/>
      <c r="C102" s="28"/>
      <c r="D102" s="28"/>
      <c r="E102" s="28"/>
      <c r="F102" s="28"/>
      <c r="G102" s="29"/>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row>
    <row r="103" ht="15.75" customHeight="1">
      <c r="A103" s="28"/>
      <c r="B103" s="28"/>
      <c r="C103" s="28"/>
      <c r="D103" s="28"/>
      <c r="E103" s="28"/>
      <c r="F103" s="28"/>
      <c r="G103" s="29"/>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row>
    <row r="104" ht="15.75" customHeight="1">
      <c r="A104" s="28"/>
      <c r="B104" s="28"/>
      <c r="C104" s="28"/>
      <c r="D104" s="28"/>
      <c r="E104" s="28"/>
      <c r="F104" s="28"/>
      <c r="G104" s="29"/>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row>
    <row r="105" ht="15.75" customHeight="1">
      <c r="A105" s="28"/>
      <c r="B105" s="28"/>
      <c r="C105" s="28"/>
      <c r="D105" s="28"/>
      <c r="E105" s="28"/>
      <c r="F105" s="28"/>
      <c r="G105" s="29"/>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row>
    <row r="106" ht="15.75" customHeight="1">
      <c r="A106" s="28"/>
      <c r="B106" s="28"/>
      <c r="C106" s="28"/>
      <c r="D106" s="28"/>
      <c r="E106" s="28"/>
      <c r="F106" s="28"/>
      <c r="G106" s="29"/>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row>
    <row r="107" ht="15.75" customHeight="1">
      <c r="A107" s="28"/>
      <c r="B107" s="28"/>
      <c r="C107" s="28"/>
      <c r="D107" s="28"/>
      <c r="E107" s="28"/>
      <c r="F107" s="28"/>
      <c r="G107" s="29"/>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row>
    <row r="108" ht="15.75" customHeight="1">
      <c r="A108" s="28"/>
      <c r="B108" s="28"/>
      <c r="C108" s="28"/>
      <c r="D108" s="28"/>
      <c r="E108" s="28"/>
      <c r="F108" s="28"/>
      <c r="G108" s="29"/>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row>
    <row r="109" ht="15.75" customHeight="1">
      <c r="A109" s="28"/>
      <c r="B109" s="28"/>
      <c r="C109" s="28"/>
      <c r="D109" s="28"/>
      <c r="E109" s="28"/>
      <c r="F109" s="28"/>
      <c r="G109" s="29"/>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row>
    <row r="110" ht="15.75" customHeight="1">
      <c r="A110" s="28"/>
      <c r="B110" s="28"/>
      <c r="C110" s="28"/>
      <c r="D110" s="28"/>
      <c r="E110" s="28"/>
      <c r="F110" s="28"/>
      <c r="G110" s="29"/>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row>
    <row r="111" ht="15.75" customHeight="1">
      <c r="A111" s="28"/>
      <c r="B111" s="28"/>
      <c r="C111" s="28"/>
      <c r="D111" s="28"/>
      <c r="E111" s="28"/>
      <c r="F111" s="28"/>
      <c r="G111" s="29"/>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row>
    <row r="112" ht="15.75" customHeight="1">
      <c r="A112" s="28"/>
      <c r="B112" s="28"/>
      <c r="C112" s="28"/>
      <c r="D112" s="28"/>
      <c r="E112" s="28"/>
      <c r="F112" s="28"/>
      <c r="G112" s="29"/>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row>
    <row r="113" ht="15.75" customHeight="1">
      <c r="A113" s="28"/>
      <c r="B113" s="28"/>
      <c r="C113" s="28"/>
      <c r="D113" s="28"/>
      <c r="E113" s="28"/>
      <c r="F113" s="28"/>
      <c r="G113" s="29"/>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row>
    <row r="114" ht="15.75" customHeight="1">
      <c r="A114" s="28"/>
      <c r="B114" s="28"/>
      <c r="C114" s="28"/>
      <c r="D114" s="28"/>
      <c r="E114" s="28"/>
      <c r="F114" s="28"/>
      <c r="G114" s="29"/>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row>
    <row r="115" ht="15.75" customHeight="1">
      <c r="A115" s="28"/>
      <c r="B115" s="28"/>
      <c r="C115" s="28"/>
      <c r="D115" s="28"/>
      <c r="E115" s="28"/>
      <c r="F115" s="28"/>
      <c r="G115" s="29"/>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row>
    <row r="116" ht="15.75" customHeight="1">
      <c r="A116" s="28"/>
      <c r="B116" s="28"/>
      <c r="C116" s="28"/>
      <c r="D116" s="28"/>
      <c r="E116" s="28"/>
      <c r="F116" s="28"/>
      <c r="G116" s="29"/>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row>
    <row r="117" ht="15.75" customHeight="1">
      <c r="A117" s="28"/>
      <c r="B117" s="28"/>
      <c r="C117" s="28"/>
      <c r="D117" s="28"/>
      <c r="E117" s="28"/>
      <c r="F117" s="28"/>
      <c r="G117" s="29"/>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row>
    <row r="118" ht="15.75" customHeight="1">
      <c r="A118" s="28"/>
      <c r="B118" s="28"/>
      <c r="C118" s="28"/>
      <c r="D118" s="28"/>
      <c r="E118" s="28"/>
      <c r="F118" s="28"/>
      <c r="G118" s="29"/>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row>
    <row r="119" ht="15.75" customHeight="1">
      <c r="A119" s="28"/>
      <c r="B119" s="28"/>
      <c r="C119" s="28"/>
      <c r="D119" s="28"/>
      <c r="E119" s="28"/>
      <c r="F119" s="28"/>
      <c r="G119" s="29"/>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row>
    <row r="120" ht="15.75" customHeight="1">
      <c r="A120" s="28"/>
      <c r="B120" s="28"/>
      <c r="C120" s="28"/>
      <c r="D120" s="28"/>
      <c r="E120" s="28"/>
      <c r="F120" s="28"/>
      <c r="G120" s="29"/>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row>
    <row r="121" ht="15.75" customHeight="1">
      <c r="A121" s="28"/>
      <c r="B121" s="28"/>
      <c r="C121" s="28"/>
      <c r="D121" s="28"/>
      <c r="E121" s="28"/>
      <c r="F121" s="28"/>
      <c r="G121" s="29"/>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row>
    <row r="122" ht="15.75" customHeight="1">
      <c r="A122" s="28"/>
      <c r="B122" s="28"/>
      <c r="C122" s="28"/>
      <c r="D122" s="28"/>
      <c r="E122" s="28"/>
      <c r="F122" s="28"/>
      <c r="G122" s="29"/>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row>
    <row r="123" ht="15.75" customHeight="1">
      <c r="A123" s="28"/>
      <c r="B123" s="28"/>
      <c r="C123" s="28"/>
      <c r="D123" s="28"/>
      <c r="E123" s="28"/>
      <c r="F123" s="28"/>
      <c r="G123" s="29"/>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row>
    <row r="124" ht="15.75" customHeight="1">
      <c r="A124" s="28"/>
      <c r="B124" s="28"/>
      <c r="C124" s="28"/>
      <c r="D124" s="28"/>
      <c r="E124" s="28"/>
      <c r="F124" s="28"/>
      <c r="G124" s="29"/>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row>
    <row r="125" ht="15.75" customHeight="1">
      <c r="A125" s="28"/>
      <c r="B125" s="28"/>
      <c r="C125" s="28"/>
      <c r="D125" s="28"/>
      <c r="E125" s="28"/>
      <c r="F125" s="28"/>
      <c r="G125" s="29"/>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row>
    <row r="126" ht="15.75" customHeight="1">
      <c r="A126" s="28"/>
      <c r="B126" s="28"/>
      <c r="C126" s="28"/>
      <c r="D126" s="28"/>
      <c r="E126" s="28"/>
      <c r="F126" s="28"/>
      <c r="G126" s="29"/>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row>
    <row r="127" ht="15.75" customHeight="1">
      <c r="A127" s="28"/>
      <c r="B127" s="28"/>
      <c r="C127" s="28"/>
      <c r="D127" s="28"/>
      <c r="E127" s="28"/>
      <c r="F127" s="28"/>
      <c r="G127" s="29"/>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row>
    <row r="128" ht="15.75" customHeight="1">
      <c r="A128" s="28"/>
      <c r="B128" s="28"/>
      <c r="C128" s="28"/>
      <c r="D128" s="28"/>
      <c r="E128" s="28"/>
      <c r="F128" s="28"/>
      <c r="G128" s="29"/>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row>
    <row r="129" ht="15.75" customHeight="1">
      <c r="A129" s="28"/>
      <c r="B129" s="28"/>
      <c r="C129" s="28"/>
      <c r="D129" s="28"/>
      <c r="E129" s="28"/>
      <c r="F129" s="28"/>
      <c r="G129" s="29"/>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row>
    <row r="130" ht="15.75" customHeight="1">
      <c r="A130" s="28"/>
      <c r="B130" s="28"/>
      <c r="C130" s="28"/>
      <c r="D130" s="28"/>
      <c r="E130" s="28"/>
      <c r="F130" s="28"/>
      <c r="G130" s="29"/>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row>
    <row r="131" ht="15.75" customHeight="1">
      <c r="A131" s="28"/>
      <c r="B131" s="28"/>
      <c r="C131" s="28"/>
      <c r="D131" s="28"/>
      <c r="E131" s="28"/>
      <c r="F131" s="28"/>
      <c r="G131" s="29"/>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row>
    <row r="132" ht="15.75" customHeight="1">
      <c r="A132" s="28"/>
      <c r="B132" s="28"/>
      <c r="C132" s="28"/>
      <c r="D132" s="28"/>
      <c r="E132" s="28"/>
      <c r="F132" s="28"/>
      <c r="G132" s="29"/>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row>
    <row r="133" ht="15.75" customHeight="1">
      <c r="A133" s="28"/>
      <c r="B133" s="28"/>
      <c r="C133" s="28"/>
      <c r="D133" s="28"/>
      <c r="E133" s="28"/>
      <c r="F133" s="28"/>
      <c r="G133" s="29"/>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row>
    <row r="134" ht="15.75" customHeight="1">
      <c r="A134" s="28"/>
      <c r="B134" s="28"/>
      <c r="C134" s="28"/>
      <c r="D134" s="28"/>
      <c r="E134" s="28"/>
      <c r="F134" s="28"/>
      <c r="G134" s="29"/>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row>
    <row r="135" ht="15.75" customHeight="1">
      <c r="A135" s="28"/>
      <c r="B135" s="28"/>
      <c r="C135" s="28"/>
      <c r="D135" s="28"/>
      <c r="E135" s="28"/>
      <c r="F135" s="28"/>
      <c r="G135" s="29"/>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row>
    <row r="136" ht="15.75" customHeight="1">
      <c r="A136" s="28"/>
      <c r="B136" s="28"/>
      <c r="C136" s="28"/>
      <c r="D136" s="28"/>
      <c r="E136" s="28"/>
      <c r="F136" s="28"/>
      <c r="G136" s="29"/>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row>
    <row r="137" ht="15.75" customHeight="1">
      <c r="A137" s="28"/>
      <c r="B137" s="28"/>
      <c r="C137" s="28"/>
      <c r="D137" s="28"/>
      <c r="E137" s="28"/>
      <c r="F137" s="28"/>
      <c r="G137" s="29"/>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row>
    <row r="138" ht="15.75" customHeight="1">
      <c r="A138" s="28"/>
      <c r="B138" s="28"/>
      <c r="C138" s="28"/>
      <c r="D138" s="28"/>
      <c r="E138" s="28"/>
      <c r="F138" s="28"/>
      <c r="G138" s="29"/>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row>
    <row r="139" ht="15.75" customHeight="1">
      <c r="A139" s="28"/>
      <c r="B139" s="28"/>
      <c r="C139" s="28"/>
      <c r="D139" s="28"/>
      <c r="E139" s="28"/>
      <c r="F139" s="28"/>
      <c r="G139" s="29"/>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row>
    <row r="140" ht="15.75" customHeight="1">
      <c r="A140" s="28"/>
      <c r="B140" s="28"/>
      <c r="C140" s="28"/>
      <c r="D140" s="28"/>
      <c r="E140" s="28"/>
      <c r="F140" s="28"/>
      <c r="G140" s="29"/>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row>
    <row r="141" ht="15.75" customHeight="1">
      <c r="A141" s="28"/>
      <c r="B141" s="28"/>
      <c r="C141" s="28"/>
      <c r="D141" s="28"/>
      <c r="E141" s="28"/>
      <c r="F141" s="28"/>
      <c r="G141" s="29"/>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row>
    <row r="142" ht="15.75" customHeight="1">
      <c r="A142" s="28"/>
      <c r="B142" s="28"/>
      <c r="C142" s="28"/>
      <c r="D142" s="28"/>
      <c r="E142" s="28"/>
      <c r="F142" s="28"/>
      <c r="G142" s="29"/>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row>
    <row r="143" ht="15.75" customHeight="1">
      <c r="A143" s="28"/>
      <c r="B143" s="28"/>
      <c r="C143" s="28"/>
      <c r="D143" s="28"/>
      <c r="E143" s="28"/>
      <c r="F143" s="28"/>
      <c r="G143" s="29"/>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row>
    <row r="144" ht="15.75" customHeight="1">
      <c r="A144" s="28"/>
      <c r="B144" s="28"/>
      <c r="C144" s="28"/>
      <c r="D144" s="28"/>
      <c r="E144" s="28"/>
      <c r="F144" s="28"/>
      <c r="G144" s="29"/>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row>
    <row r="145" ht="15.75" customHeight="1">
      <c r="A145" s="28"/>
      <c r="B145" s="28"/>
      <c r="C145" s="28"/>
      <c r="D145" s="28"/>
      <c r="E145" s="28"/>
      <c r="F145" s="28"/>
      <c r="G145" s="29"/>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row>
    <row r="146" ht="15.75" customHeight="1">
      <c r="A146" s="28"/>
      <c r="B146" s="28"/>
      <c r="C146" s="28"/>
      <c r="D146" s="28"/>
      <c r="E146" s="28"/>
      <c r="F146" s="28"/>
      <c r="G146" s="29"/>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row>
    <row r="147" ht="15.75" customHeight="1">
      <c r="A147" s="28"/>
      <c r="B147" s="28"/>
      <c r="C147" s="28"/>
      <c r="D147" s="28"/>
      <c r="E147" s="28"/>
      <c r="F147" s="28"/>
      <c r="G147" s="29"/>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row>
    <row r="148" ht="15.75" customHeight="1">
      <c r="A148" s="28"/>
      <c r="B148" s="28"/>
      <c r="C148" s="28"/>
      <c r="D148" s="28"/>
      <c r="E148" s="28"/>
      <c r="F148" s="28"/>
      <c r="G148" s="29"/>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row>
    <row r="149" ht="15.75" customHeight="1">
      <c r="A149" s="28"/>
      <c r="B149" s="28"/>
      <c r="C149" s="28"/>
      <c r="D149" s="28"/>
      <c r="E149" s="28"/>
      <c r="F149" s="28"/>
      <c r="G149" s="29"/>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row>
    <row r="150" ht="15.75" customHeight="1">
      <c r="A150" s="28"/>
      <c r="B150" s="28"/>
      <c r="C150" s="28"/>
      <c r="D150" s="28"/>
      <c r="E150" s="28"/>
      <c r="F150" s="28"/>
      <c r="G150" s="29"/>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row>
    <row r="151" ht="15.75" customHeight="1">
      <c r="A151" s="28"/>
      <c r="B151" s="28"/>
      <c r="C151" s="28"/>
      <c r="D151" s="28"/>
      <c r="E151" s="28"/>
      <c r="F151" s="28"/>
      <c r="G151" s="29"/>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row>
    <row r="152" ht="15.75" customHeight="1">
      <c r="A152" s="28"/>
      <c r="B152" s="28"/>
      <c r="C152" s="28"/>
      <c r="D152" s="28"/>
      <c r="E152" s="28"/>
      <c r="F152" s="28"/>
      <c r="G152" s="29"/>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row>
    <row r="153" ht="15.75" customHeight="1">
      <c r="A153" s="28"/>
      <c r="B153" s="28"/>
      <c r="C153" s="28"/>
      <c r="D153" s="28"/>
      <c r="E153" s="28"/>
      <c r="F153" s="28"/>
      <c r="G153" s="29"/>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row>
    <row r="154" ht="15.75" customHeight="1">
      <c r="A154" s="28"/>
      <c r="B154" s="28"/>
      <c r="C154" s="28"/>
      <c r="D154" s="28"/>
      <c r="E154" s="28"/>
      <c r="F154" s="28"/>
      <c r="G154" s="29"/>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row>
    <row r="155" ht="15.75" customHeight="1">
      <c r="A155" s="28"/>
      <c r="B155" s="28"/>
      <c r="C155" s="28"/>
      <c r="D155" s="28"/>
      <c r="E155" s="28"/>
      <c r="F155" s="28"/>
      <c r="G155" s="29"/>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row>
    <row r="156" ht="15.75" customHeight="1">
      <c r="A156" s="28"/>
      <c r="B156" s="28"/>
      <c r="C156" s="28"/>
      <c r="D156" s="28"/>
      <c r="E156" s="28"/>
      <c r="F156" s="28"/>
      <c r="G156" s="29"/>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row>
    <row r="157" ht="15.75" customHeight="1">
      <c r="A157" s="28"/>
      <c r="B157" s="28"/>
      <c r="C157" s="28"/>
      <c r="D157" s="28"/>
      <c r="E157" s="28"/>
      <c r="F157" s="28"/>
      <c r="G157" s="29"/>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row>
    <row r="158" ht="15.75" customHeight="1">
      <c r="A158" s="28"/>
      <c r="B158" s="28"/>
      <c r="C158" s="28"/>
      <c r="D158" s="28"/>
      <c r="E158" s="28"/>
      <c r="F158" s="28"/>
      <c r="G158" s="29"/>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row>
    <row r="159" ht="15.75" customHeight="1">
      <c r="A159" s="28"/>
      <c r="B159" s="28"/>
      <c r="C159" s="28"/>
      <c r="D159" s="28"/>
      <c r="E159" s="28"/>
      <c r="F159" s="28"/>
      <c r="G159" s="29"/>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row>
    <row r="160" ht="15.75" customHeight="1">
      <c r="A160" s="28"/>
      <c r="B160" s="28"/>
      <c r="C160" s="28"/>
      <c r="D160" s="28"/>
      <c r="E160" s="28"/>
      <c r="F160" s="28"/>
      <c r="G160" s="29"/>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row>
    <row r="161" ht="15.75" customHeight="1">
      <c r="A161" s="28"/>
      <c r="B161" s="28"/>
      <c r="C161" s="28"/>
      <c r="D161" s="28"/>
      <c r="E161" s="28"/>
      <c r="F161" s="28"/>
      <c r="G161" s="29"/>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row>
    <row r="162" ht="15.75" customHeight="1">
      <c r="A162" s="28"/>
      <c r="B162" s="28"/>
      <c r="C162" s="28"/>
      <c r="D162" s="28"/>
      <c r="E162" s="28"/>
      <c r="F162" s="28"/>
      <c r="G162" s="29"/>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row>
    <row r="163" ht="15.75" customHeight="1">
      <c r="A163" s="28"/>
      <c r="B163" s="28"/>
      <c r="C163" s="28"/>
      <c r="D163" s="28"/>
      <c r="E163" s="28"/>
      <c r="F163" s="28"/>
      <c r="G163" s="29"/>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row>
    <row r="164" ht="15.75" customHeight="1">
      <c r="A164" s="28"/>
      <c r="B164" s="28"/>
      <c r="C164" s="28"/>
      <c r="D164" s="28"/>
      <c r="E164" s="28"/>
      <c r="F164" s="28"/>
      <c r="G164" s="29"/>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row>
    <row r="165" ht="15.75" customHeight="1">
      <c r="A165" s="28"/>
      <c r="B165" s="28"/>
      <c r="C165" s="28"/>
      <c r="D165" s="28"/>
      <c r="E165" s="28"/>
      <c r="F165" s="28"/>
      <c r="G165" s="29"/>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row>
    <row r="166" ht="15.75" customHeight="1">
      <c r="A166" s="28"/>
      <c r="B166" s="28"/>
      <c r="C166" s="28"/>
      <c r="D166" s="28"/>
      <c r="E166" s="28"/>
      <c r="F166" s="28"/>
      <c r="G166" s="29"/>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row>
    <row r="167" ht="15.75" customHeight="1">
      <c r="A167" s="28"/>
      <c r="B167" s="28"/>
      <c r="C167" s="28"/>
      <c r="D167" s="28"/>
      <c r="E167" s="28"/>
      <c r="F167" s="28"/>
      <c r="G167" s="29"/>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row>
    <row r="168" ht="15.75" customHeight="1">
      <c r="A168" s="28"/>
      <c r="B168" s="28"/>
      <c r="C168" s="28"/>
      <c r="D168" s="28"/>
      <c r="E168" s="28"/>
      <c r="F168" s="28"/>
      <c r="G168" s="29"/>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row>
    <row r="169" ht="15.75" customHeight="1">
      <c r="A169" s="28"/>
      <c r="B169" s="28"/>
      <c r="C169" s="28"/>
      <c r="D169" s="28"/>
      <c r="E169" s="28"/>
      <c r="F169" s="28"/>
      <c r="G169" s="29"/>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row>
    <row r="170" ht="15.75" customHeight="1">
      <c r="A170" s="28"/>
      <c r="B170" s="28"/>
      <c r="C170" s="28"/>
      <c r="D170" s="28"/>
      <c r="E170" s="28"/>
      <c r="F170" s="28"/>
      <c r="G170" s="29"/>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row>
    <row r="171" ht="15.75" customHeight="1">
      <c r="A171" s="28"/>
      <c r="B171" s="28"/>
      <c r="C171" s="28"/>
      <c r="D171" s="28"/>
      <c r="E171" s="28"/>
      <c r="F171" s="28"/>
      <c r="G171" s="29"/>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row>
    <row r="172" ht="15.75" customHeight="1">
      <c r="A172" s="28"/>
      <c r="B172" s="28"/>
      <c r="C172" s="28"/>
      <c r="D172" s="28"/>
      <c r="E172" s="28"/>
      <c r="F172" s="28"/>
      <c r="G172" s="29"/>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row>
    <row r="173" ht="15.75" customHeight="1">
      <c r="A173" s="28"/>
      <c r="B173" s="28"/>
      <c r="C173" s="28"/>
      <c r="D173" s="28"/>
      <c r="E173" s="28"/>
      <c r="F173" s="28"/>
      <c r="G173" s="29"/>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row>
    <row r="174" ht="15.75" customHeight="1">
      <c r="A174" s="28"/>
      <c r="B174" s="28"/>
      <c r="C174" s="28"/>
      <c r="D174" s="28"/>
      <c r="E174" s="28"/>
      <c r="F174" s="28"/>
      <c r="G174" s="29"/>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row>
    <row r="175" ht="15.75" customHeight="1">
      <c r="A175" s="28"/>
      <c r="B175" s="28"/>
      <c r="C175" s="28"/>
      <c r="D175" s="28"/>
      <c r="E175" s="28"/>
      <c r="F175" s="28"/>
      <c r="G175" s="29"/>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row>
    <row r="176" ht="15.75" customHeight="1">
      <c r="A176" s="28"/>
      <c r="B176" s="28"/>
      <c r="C176" s="28"/>
      <c r="D176" s="28"/>
      <c r="E176" s="28"/>
      <c r="F176" s="28"/>
      <c r="G176" s="29"/>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row>
    <row r="177" ht="15.75" customHeight="1">
      <c r="A177" s="28"/>
      <c r="B177" s="28"/>
      <c r="C177" s="28"/>
      <c r="D177" s="28"/>
      <c r="E177" s="28"/>
      <c r="F177" s="28"/>
      <c r="G177" s="29"/>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row>
    <row r="178" ht="15.75" customHeight="1">
      <c r="A178" s="28"/>
      <c r="B178" s="28"/>
      <c r="C178" s="28"/>
      <c r="D178" s="28"/>
      <c r="E178" s="28"/>
      <c r="F178" s="28"/>
      <c r="G178" s="29"/>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row>
    <row r="179" ht="15.75" customHeight="1">
      <c r="A179" s="28"/>
      <c r="B179" s="28"/>
      <c r="C179" s="28"/>
      <c r="D179" s="28"/>
      <c r="E179" s="28"/>
      <c r="F179" s="28"/>
      <c r="G179" s="29"/>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row>
    <row r="180" ht="15.75" customHeight="1">
      <c r="A180" s="28"/>
      <c r="B180" s="28"/>
      <c r="C180" s="28"/>
      <c r="D180" s="28"/>
      <c r="E180" s="28"/>
      <c r="F180" s="28"/>
      <c r="G180" s="29"/>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row>
    <row r="181" ht="15.75" customHeight="1">
      <c r="A181" s="28"/>
      <c r="B181" s="28"/>
      <c r="C181" s="28"/>
      <c r="D181" s="28"/>
      <c r="E181" s="28"/>
      <c r="F181" s="28"/>
      <c r="G181" s="29"/>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row>
    <row r="182" ht="15.75" customHeight="1">
      <c r="A182" s="28"/>
      <c r="B182" s="28"/>
      <c r="C182" s="28"/>
      <c r="D182" s="28"/>
      <c r="E182" s="28"/>
      <c r="F182" s="28"/>
      <c r="G182" s="29"/>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row>
    <row r="183" ht="15.75" customHeight="1">
      <c r="A183" s="28"/>
      <c r="B183" s="28"/>
      <c r="C183" s="28"/>
      <c r="D183" s="28"/>
      <c r="E183" s="28"/>
      <c r="F183" s="28"/>
      <c r="G183" s="29"/>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row>
    <row r="184" ht="15.75" customHeight="1">
      <c r="A184" s="28"/>
      <c r="B184" s="28"/>
      <c r="C184" s="28"/>
      <c r="D184" s="28"/>
      <c r="E184" s="28"/>
      <c r="F184" s="28"/>
      <c r="G184" s="29"/>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row>
    <row r="185" ht="15.75" customHeight="1">
      <c r="A185" s="28"/>
      <c r="B185" s="28"/>
      <c r="C185" s="28"/>
      <c r="D185" s="28"/>
      <c r="E185" s="28"/>
      <c r="F185" s="28"/>
      <c r="G185" s="29"/>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row>
    <row r="186" ht="15.75" customHeight="1">
      <c r="A186" s="28"/>
      <c r="B186" s="28"/>
      <c r="C186" s="28"/>
      <c r="D186" s="28"/>
      <c r="E186" s="28"/>
      <c r="F186" s="28"/>
      <c r="G186" s="29"/>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row>
    <row r="187" ht="15.75" customHeight="1">
      <c r="A187" s="28"/>
      <c r="B187" s="28"/>
      <c r="C187" s="28"/>
      <c r="D187" s="28"/>
      <c r="E187" s="28"/>
      <c r="F187" s="28"/>
      <c r="G187" s="29"/>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row>
    <row r="188" ht="15.75" customHeight="1">
      <c r="A188" s="28"/>
      <c r="B188" s="28"/>
      <c r="C188" s="28"/>
      <c r="D188" s="28"/>
      <c r="E188" s="28"/>
      <c r="F188" s="28"/>
      <c r="G188" s="29"/>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row>
    <row r="189" ht="15.75" customHeight="1">
      <c r="A189" s="28"/>
      <c r="B189" s="28"/>
      <c r="C189" s="28"/>
      <c r="D189" s="28"/>
      <c r="E189" s="28"/>
      <c r="F189" s="28"/>
      <c r="G189" s="29"/>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row>
    <row r="190" ht="15.75" customHeight="1">
      <c r="A190" s="28"/>
      <c r="B190" s="28"/>
      <c r="C190" s="28"/>
      <c r="D190" s="28"/>
      <c r="E190" s="28"/>
      <c r="F190" s="28"/>
      <c r="G190" s="29"/>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row>
    <row r="191" ht="15.75" customHeight="1">
      <c r="A191" s="28"/>
      <c r="B191" s="28"/>
      <c r="C191" s="28"/>
      <c r="D191" s="28"/>
      <c r="E191" s="28"/>
      <c r="F191" s="28"/>
      <c r="G191" s="29"/>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row>
    <row r="192" ht="15.75" customHeight="1">
      <c r="A192" s="28"/>
      <c r="B192" s="28"/>
      <c r="C192" s="28"/>
      <c r="D192" s="28"/>
      <c r="E192" s="28"/>
      <c r="F192" s="28"/>
      <c r="G192" s="29"/>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row>
    <row r="193" ht="15.75" customHeight="1">
      <c r="A193" s="28"/>
      <c r="B193" s="28"/>
      <c r="C193" s="28"/>
      <c r="D193" s="28"/>
      <c r="E193" s="28"/>
      <c r="F193" s="28"/>
      <c r="G193" s="29"/>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row>
    <row r="194" ht="15.75" customHeight="1">
      <c r="A194" s="28"/>
      <c r="B194" s="28"/>
      <c r="C194" s="28"/>
      <c r="D194" s="28"/>
      <c r="E194" s="28"/>
      <c r="F194" s="28"/>
      <c r="G194" s="29"/>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row>
    <row r="195" ht="15.75" customHeight="1">
      <c r="A195" s="28"/>
      <c r="B195" s="28"/>
      <c r="C195" s="28"/>
      <c r="D195" s="28"/>
      <c r="E195" s="28"/>
      <c r="F195" s="28"/>
      <c r="G195" s="29"/>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row>
    <row r="196" ht="15.75" customHeight="1">
      <c r="A196" s="28"/>
      <c r="B196" s="28"/>
      <c r="C196" s="28"/>
      <c r="D196" s="28"/>
      <c r="E196" s="28"/>
      <c r="F196" s="28"/>
      <c r="G196" s="29"/>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row>
    <row r="197" ht="15.75" customHeight="1">
      <c r="A197" s="28"/>
      <c r="B197" s="28"/>
      <c r="C197" s="28"/>
      <c r="D197" s="28"/>
      <c r="E197" s="28"/>
      <c r="F197" s="28"/>
      <c r="G197" s="29"/>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row>
    <row r="198" ht="15.75" customHeight="1">
      <c r="A198" s="28"/>
      <c r="B198" s="28"/>
      <c r="C198" s="28"/>
      <c r="D198" s="28"/>
      <c r="E198" s="28"/>
      <c r="F198" s="28"/>
      <c r="G198" s="29"/>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row>
    <row r="199" ht="15.75" customHeight="1">
      <c r="A199" s="28"/>
      <c r="B199" s="28"/>
      <c r="C199" s="28"/>
      <c r="D199" s="28"/>
      <c r="E199" s="28"/>
      <c r="F199" s="28"/>
      <c r="G199" s="29"/>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row>
    <row r="200" ht="15.75" customHeight="1">
      <c r="A200" s="28"/>
      <c r="B200" s="28"/>
      <c r="C200" s="28"/>
      <c r="D200" s="28"/>
      <c r="E200" s="28"/>
      <c r="F200" s="28"/>
      <c r="G200" s="29"/>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row>
    <row r="201" ht="15.75" customHeight="1">
      <c r="A201" s="28"/>
      <c r="B201" s="28"/>
      <c r="C201" s="28"/>
      <c r="D201" s="28"/>
      <c r="E201" s="28"/>
      <c r="F201" s="28"/>
      <c r="G201" s="29"/>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row>
    <row r="202" ht="15.75" customHeight="1">
      <c r="A202" s="28"/>
      <c r="B202" s="28"/>
      <c r="C202" s="28"/>
      <c r="D202" s="28"/>
      <c r="E202" s="28"/>
      <c r="F202" s="28"/>
      <c r="G202" s="29"/>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row>
    <row r="203" ht="15.75" customHeight="1">
      <c r="A203" s="28"/>
      <c r="B203" s="28"/>
      <c r="C203" s="28"/>
      <c r="D203" s="28"/>
      <c r="E203" s="28"/>
      <c r="F203" s="28"/>
      <c r="G203" s="29"/>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row>
    <row r="204" ht="15.75" customHeight="1">
      <c r="A204" s="28"/>
      <c r="B204" s="28"/>
      <c r="C204" s="28"/>
      <c r="D204" s="28"/>
      <c r="E204" s="28"/>
      <c r="F204" s="28"/>
      <c r="G204" s="29"/>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row>
    <row r="205" ht="15.75" customHeight="1">
      <c r="A205" s="28"/>
      <c r="B205" s="28"/>
      <c r="C205" s="28"/>
      <c r="D205" s="28"/>
      <c r="E205" s="28"/>
      <c r="F205" s="28"/>
      <c r="G205" s="29"/>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row>
    <row r="206" ht="15.75" customHeight="1">
      <c r="A206" s="28"/>
      <c r="B206" s="28"/>
      <c r="C206" s="28"/>
      <c r="D206" s="28"/>
      <c r="E206" s="28"/>
      <c r="F206" s="28"/>
      <c r="G206" s="29"/>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row>
    <row r="207" ht="15.75" customHeight="1">
      <c r="A207" s="28"/>
      <c r="B207" s="28"/>
      <c r="C207" s="28"/>
      <c r="D207" s="28"/>
      <c r="E207" s="28"/>
      <c r="F207" s="28"/>
      <c r="G207" s="29"/>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row>
    <row r="208" ht="15.75" customHeight="1">
      <c r="A208" s="28"/>
      <c r="B208" s="28"/>
      <c r="C208" s="28"/>
      <c r="D208" s="28"/>
      <c r="E208" s="28"/>
      <c r="F208" s="28"/>
      <c r="G208" s="29"/>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row>
    <row r="209" ht="15.75" customHeight="1">
      <c r="A209" s="28"/>
      <c r="B209" s="28"/>
      <c r="C209" s="28"/>
      <c r="D209" s="28"/>
      <c r="E209" s="28"/>
      <c r="F209" s="28"/>
      <c r="G209" s="29"/>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row>
    <row r="210" ht="15.75" customHeight="1">
      <c r="A210" s="28"/>
      <c r="B210" s="28"/>
      <c r="C210" s="28"/>
      <c r="D210" s="28"/>
      <c r="E210" s="28"/>
      <c r="F210" s="28"/>
      <c r="G210" s="29"/>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row>
    <row r="211" ht="15.75" customHeight="1">
      <c r="A211" s="28"/>
      <c r="B211" s="28"/>
      <c r="C211" s="28"/>
      <c r="D211" s="28"/>
      <c r="E211" s="28"/>
      <c r="F211" s="28"/>
      <c r="G211" s="29"/>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row>
    <row r="212" ht="15.75" customHeight="1">
      <c r="A212" s="28"/>
      <c r="B212" s="28"/>
      <c r="C212" s="28"/>
      <c r="D212" s="28"/>
      <c r="E212" s="28"/>
      <c r="F212" s="28"/>
      <c r="G212" s="29"/>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row>
    <row r="213" ht="15.75" customHeight="1">
      <c r="A213" s="28"/>
      <c r="B213" s="28"/>
      <c r="C213" s="28"/>
      <c r="D213" s="28"/>
      <c r="E213" s="28"/>
      <c r="F213" s="28"/>
      <c r="G213" s="29"/>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row>
    <row r="214" ht="15.75" customHeight="1">
      <c r="A214" s="28"/>
      <c r="B214" s="28"/>
      <c r="C214" s="28"/>
      <c r="D214" s="28"/>
      <c r="E214" s="28"/>
      <c r="F214" s="28"/>
      <c r="G214" s="29"/>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row>
    <row r="215" ht="15.75" customHeight="1">
      <c r="A215" s="28"/>
      <c r="B215" s="28"/>
      <c r="C215" s="28"/>
      <c r="D215" s="28"/>
      <c r="E215" s="28"/>
      <c r="F215" s="28"/>
      <c r="G215" s="29"/>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row>
    <row r="216" ht="15.75" customHeight="1">
      <c r="A216" s="28"/>
      <c r="B216" s="28"/>
      <c r="C216" s="28"/>
      <c r="D216" s="28"/>
      <c r="E216" s="28"/>
      <c r="F216" s="28"/>
      <c r="G216" s="29"/>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row>
    <row r="217" ht="15.75" customHeight="1">
      <c r="A217" s="28"/>
      <c r="B217" s="28"/>
      <c r="C217" s="28"/>
      <c r="D217" s="28"/>
      <c r="E217" s="28"/>
      <c r="F217" s="28"/>
      <c r="G217" s="29"/>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row>
    <row r="218" ht="15.75" customHeight="1">
      <c r="A218" s="28"/>
      <c r="B218" s="28"/>
      <c r="C218" s="28"/>
      <c r="D218" s="28"/>
      <c r="E218" s="28"/>
      <c r="F218" s="28"/>
      <c r="G218" s="29"/>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row>
    <row r="219" ht="15.75" customHeight="1">
      <c r="A219" s="28"/>
      <c r="B219" s="28"/>
      <c r="C219" s="28"/>
      <c r="D219" s="28"/>
      <c r="E219" s="28"/>
      <c r="F219" s="28"/>
      <c r="G219" s="29"/>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row>
    <row r="220" ht="15.75" customHeight="1">
      <c r="A220" s="28"/>
      <c r="B220" s="28"/>
      <c r="C220" s="28"/>
      <c r="D220" s="28"/>
      <c r="E220" s="28"/>
      <c r="F220" s="28"/>
      <c r="G220" s="29"/>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row>
    <row r="221" ht="15.75" customHeight="1">
      <c r="A221" s="28"/>
      <c r="B221" s="28"/>
      <c r="C221" s="28"/>
      <c r="D221" s="28"/>
      <c r="E221" s="28"/>
      <c r="F221" s="28"/>
      <c r="G221" s="29"/>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row>
    <row r="222" ht="15.75" customHeight="1">
      <c r="A222" s="28"/>
      <c r="B222" s="28"/>
      <c r="C222" s="28"/>
      <c r="D222" s="28"/>
      <c r="E222" s="28"/>
      <c r="F222" s="28"/>
      <c r="G222" s="29"/>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row>
    <row r="223" ht="15.75" customHeight="1">
      <c r="A223" s="28"/>
      <c r="B223" s="28"/>
      <c r="C223" s="28"/>
      <c r="D223" s="28"/>
      <c r="E223" s="28"/>
      <c r="F223" s="28"/>
      <c r="G223" s="29"/>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row>
    <row r="224" ht="15.75" customHeight="1">
      <c r="A224" s="28"/>
      <c r="B224" s="28"/>
      <c r="C224" s="28"/>
      <c r="D224" s="28"/>
      <c r="E224" s="28"/>
      <c r="F224" s="28"/>
      <c r="G224" s="29"/>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row>
    <row r="225" ht="15.75" customHeight="1">
      <c r="A225" s="28"/>
      <c r="B225" s="28"/>
      <c r="C225" s="28"/>
      <c r="D225" s="28"/>
      <c r="E225" s="28"/>
      <c r="F225" s="28"/>
      <c r="G225" s="29"/>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row>
    <row r="226" ht="15.75" customHeight="1">
      <c r="A226" s="28"/>
      <c r="B226" s="28"/>
      <c r="C226" s="28"/>
      <c r="D226" s="28"/>
      <c r="E226" s="28"/>
      <c r="F226" s="28"/>
      <c r="G226" s="29"/>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row>
    <row r="227" ht="15.75" customHeight="1">
      <c r="A227" s="28"/>
      <c r="B227" s="28"/>
      <c r="C227" s="28"/>
      <c r="D227" s="28"/>
      <c r="E227" s="28"/>
      <c r="F227" s="28"/>
      <c r="G227" s="29"/>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row>
    <row r="228" ht="15.75" customHeight="1">
      <c r="A228" s="28"/>
      <c r="B228" s="28"/>
      <c r="C228" s="28"/>
      <c r="D228" s="28"/>
      <c r="E228" s="28"/>
      <c r="F228" s="28"/>
      <c r="G228" s="29"/>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row>
    <row r="229" ht="15.75" customHeight="1">
      <c r="A229" s="28"/>
      <c r="B229" s="28"/>
      <c r="C229" s="28"/>
      <c r="D229" s="28"/>
      <c r="E229" s="28"/>
      <c r="F229" s="28"/>
      <c r="G229" s="29"/>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row>
    <row r="230" ht="15.75" customHeight="1">
      <c r="A230" s="28"/>
      <c r="B230" s="28"/>
      <c r="C230" s="28"/>
      <c r="D230" s="28"/>
      <c r="E230" s="28"/>
      <c r="F230" s="28"/>
      <c r="G230" s="29"/>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row>
    <row r="231" ht="15.75" customHeight="1">
      <c r="A231" s="28"/>
      <c r="B231" s="28"/>
      <c r="C231" s="28"/>
      <c r="D231" s="28"/>
      <c r="E231" s="28"/>
      <c r="F231" s="28"/>
      <c r="G231" s="29"/>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row>
    <row r="232" ht="15.75" customHeight="1">
      <c r="A232" s="28"/>
      <c r="B232" s="28"/>
      <c r="C232" s="28"/>
      <c r="D232" s="28"/>
      <c r="E232" s="28"/>
      <c r="F232" s="28"/>
      <c r="G232" s="29"/>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row>
    <row r="233" ht="15.75" customHeight="1">
      <c r="A233" s="28"/>
      <c r="B233" s="28"/>
      <c r="C233" s="28"/>
      <c r="D233" s="28"/>
      <c r="E233" s="28"/>
      <c r="F233" s="28"/>
      <c r="G233" s="29"/>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row>
    <row r="234" ht="15.75" customHeight="1">
      <c r="A234" s="28"/>
      <c r="B234" s="28"/>
      <c r="C234" s="28"/>
      <c r="D234" s="28"/>
      <c r="E234" s="28"/>
      <c r="F234" s="28"/>
      <c r="G234" s="29"/>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row>
    <row r="235" ht="15.75" customHeight="1">
      <c r="A235" s="28"/>
      <c r="B235" s="28"/>
      <c r="C235" s="28"/>
      <c r="D235" s="28"/>
      <c r="E235" s="28"/>
      <c r="F235" s="28"/>
      <c r="G235" s="29"/>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row>
    <row r="236" ht="15.75" customHeight="1">
      <c r="A236" s="28"/>
      <c r="B236" s="28"/>
      <c r="C236" s="28"/>
      <c r="D236" s="28"/>
      <c r="E236" s="28"/>
      <c r="F236" s="28"/>
      <c r="G236" s="29"/>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row>
    <row r="237" ht="15.75" customHeight="1">
      <c r="A237" s="28"/>
      <c r="B237" s="28"/>
      <c r="C237" s="28"/>
      <c r="D237" s="28"/>
      <c r="E237" s="28"/>
      <c r="F237" s="28"/>
      <c r="G237" s="29"/>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E6:F6"/>
    <mergeCell ref="G6:G7"/>
    <mergeCell ref="H6:K6"/>
    <mergeCell ref="L6:O6"/>
    <mergeCell ref="P6:S6"/>
    <mergeCell ref="T6:W6"/>
    <mergeCell ref="X6:AA6"/>
    <mergeCell ref="AB6:AE6"/>
    <mergeCell ref="AF6:AI6"/>
    <mergeCell ref="AJ6:AM6"/>
    <mergeCell ref="A8:AM8"/>
    <mergeCell ref="A16:AM16"/>
    <mergeCell ref="A22:AM22"/>
    <mergeCell ref="A28:AM28"/>
    <mergeCell ref="A33:AM33"/>
    <mergeCell ref="A2:Q2"/>
    <mergeCell ref="A4:G5"/>
    <mergeCell ref="H4:AE5"/>
    <mergeCell ref="AF4:AM5"/>
    <mergeCell ref="A6:A7"/>
    <mergeCell ref="B6:B7"/>
    <mergeCell ref="D6:D7"/>
  </mergeCells>
  <conditionalFormatting sqref="D1 D3 D6:D7 D9:D15 D17:D21">
    <cfRule type="containsText" dxfId="0" priority="1" operator="containsText" text="In process">
      <formula>NOT(ISERROR(SEARCH(("In process"),(D1))))</formula>
    </cfRule>
  </conditionalFormatting>
  <conditionalFormatting sqref="D1 D3 D6:D7 D9:D15 D17:D21">
    <cfRule type="containsText" dxfId="1" priority="2" operator="containsText" text="Done">
      <formula>NOT(ISERROR(SEARCH(("Done"),(D1))))</formula>
    </cfRule>
  </conditionalFormatting>
  <conditionalFormatting sqref="D9:D15 D17:D21">
    <cfRule type="containsText" dxfId="0" priority="3" operator="containsText" text="In progress">
      <formula>NOT(ISERROR(SEARCH(("In progress"),(D9))))</formula>
    </cfRule>
  </conditionalFormatting>
  <conditionalFormatting sqref="D23:D27">
    <cfRule type="containsText" dxfId="0" priority="4" operator="containsText" text="In progress">
      <formula>NOT(ISERROR(SEARCH(("In progress"),(D23))))</formula>
    </cfRule>
  </conditionalFormatting>
  <conditionalFormatting sqref="D23:D27">
    <cfRule type="containsText" dxfId="0" priority="5" operator="containsText" text="In process">
      <formula>NOT(ISERROR(SEARCH(("In process"),(D23))))</formula>
    </cfRule>
  </conditionalFormatting>
  <conditionalFormatting sqref="D23:D27">
    <cfRule type="containsText" dxfId="1" priority="6" operator="containsText" text="Done">
      <formula>NOT(ISERROR(SEARCH(("Done"),(D23))))</formula>
    </cfRule>
  </conditionalFormatting>
  <conditionalFormatting sqref="D29:D32">
    <cfRule type="containsText" dxfId="0" priority="7" operator="containsText" text="In progress">
      <formula>NOT(ISERROR(SEARCH(("In progress"),(D29))))</formula>
    </cfRule>
  </conditionalFormatting>
  <conditionalFormatting sqref="D29:D32">
    <cfRule type="containsText" dxfId="0" priority="8" operator="containsText" text="In process">
      <formula>NOT(ISERROR(SEARCH(("In process"),(D29))))</formula>
    </cfRule>
  </conditionalFormatting>
  <conditionalFormatting sqref="D29:D32">
    <cfRule type="containsText" dxfId="1" priority="9" operator="containsText" text="Done">
      <formula>NOT(ISERROR(SEARCH(("Done"),(D29))))</formula>
    </cfRule>
  </conditionalFormatting>
  <conditionalFormatting sqref="D34:D37">
    <cfRule type="containsText" dxfId="0" priority="10" operator="containsText" text="In progress">
      <formula>NOT(ISERROR(SEARCH(("In progress"),(D34))))</formula>
    </cfRule>
  </conditionalFormatting>
  <conditionalFormatting sqref="D34:D1000">
    <cfRule type="containsText" dxfId="0" priority="11" operator="containsText" text="In process">
      <formula>NOT(ISERROR(SEARCH(("In process"),(D34))))</formula>
    </cfRule>
  </conditionalFormatting>
  <conditionalFormatting sqref="D34:D1000">
    <cfRule type="containsText" dxfId="1" priority="12" operator="containsText" text="Done">
      <formula>NOT(ISERROR(SEARCH(("Done"),(D34))))</formula>
    </cfRule>
  </conditionalFormatting>
  <conditionalFormatting sqref="AO1:AO3">
    <cfRule type="containsText" dxfId="0" priority="13" operator="containsText" text="In progress">
      <formula>NOT(ISERROR(SEARCH(("In progress"),(AO1))))</formula>
    </cfRule>
  </conditionalFormatting>
  <conditionalFormatting sqref="AO1:AO3">
    <cfRule type="containsText" dxfId="0" priority="14" operator="containsText" text="In process">
      <formula>NOT(ISERROR(SEARCH(("In process"),(AO1))))</formula>
    </cfRule>
  </conditionalFormatting>
  <conditionalFormatting sqref="AO1:AO3">
    <cfRule type="containsText" dxfId="1" priority="15" operator="containsText" text="Done">
      <formula>NOT(ISERROR(SEARCH(("Done"),(AO1))))</formula>
    </cfRule>
  </conditionalFormatting>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47.0"/>
    <col customWidth="1" min="3" max="3" width="85.13"/>
    <col customWidth="1" min="4" max="4" width="13.5"/>
    <col customWidth="1" min="5" max="5" width="12.5"/>
    <col customWidth="1" min="6" max="6" width="37.38"/>
    <col customWidth="1" min="7" max="7" width="13.13"/>
    <col customWidth="1" min="8" max="8" width="9.63"/>
    <col customWidth="1" min="9" max="9" width="10.38"/>
    <col customWidth="1" min="10" max="10" width="8.63"/>
    <col customWidth="1" min="11" max="11" width="9.38"/>
    <col customWidth="1" min="12" max="12" width="8.63"/>
  </cols>
  <sheetData>
    <row r="1" ht="47.25" customHeight="1">
      <c r="A1" s="52" t="s">
        <v>91</v>
      </c>
      <c r="F1" s="53"/>
      <c r="G1" s="53"/>
      <c r="H1" s="53"/>
      <c r="I1" s="53"/>
      <c r="J1" s="53"/>
      <c r="K1" s="53"/>
      <c r="L1" s="53"/>
      <c r="M1" s="53"/>
      <c r="N1" s="53"/>
      <c r="O1" s="53"/>
      <c r="P1" s="53"/>
      <c r="Q1" s="53"/>
      <c r="R1" s="53"/>
      <c r="S1" s="53"/>
      <c r="T1" s="53"/>
      <c r="U1" s="53"/>
      <c r="V1" s="53"/>
      <c r="W1" s="53"/>
      <c r="X1" s="53"/>
      <c r="Y1" s="53"/>
      <c r="Z1" s="53"/>
    </row>
    <row r="2" ht="13.5" customHeight="1">
      <c r="A2" s="52"/>
      <c r="C2" s="54"/>
      <c r="D2" s="54"/>
      <c r="E2" s="54"/>
      <c r="F2" s="53"/>
      <c r="G2" s="53"/>
      <c r="H2" s="53"/>
      <c r="I2" s="53"/>
      <c r="J2" s="53"/>
      <c r="K2" s="53"/>
      <c r="L2" s="53"/>
      <c r="M2" s="53"/>
      <c r="N2" s="53"/>
      <c r="O2" s="53"/>
      <c r="P2" s="53"/>
      <c r="Q2" s="53"/>
      <c r="R2" s="53"/>
      <c r="S2" s="53"/>
      <c r="T2" s="53"/>
      <c r="U2" s="53"/>
      <c r="V2" s="53"/>
      <c r="W2" s="53"/>
      <c r="X2" s="53"/>
      <c r="Y2" s="53"/>
      <c r="Z2" s="53"/>
    </row>
    <row r="3" ht="13.5" customHeight="1">
      <c r="A3" s="52"/>
      <c r="B3" s="54"/>
      <c r="C3" s="54"/>
      <c r="D3" s="54"/>
      <c r="E3" s="54"/>
      <c r="F3" s="53"/>
      <c r="G3" s="53"/>
      <c r="H3" s="53"/>
      <c r="I3" s="53"/>
      <c r="J3" s="53"/>
      <c r="K3" s="53"/>
      <c r="L3" s="53"/>
      <c r="M3" s="53"/>
      <c r="N3" s="53"/>
      <c r="O3" s="53"/>
      <c r="P3" s="53"/>
      <c r="Q3" s="53"/>
      <c r="R3" s="53"/>
      <c r="S3" s="53"/>
      <c r="T3" s="53"/>
      <c r="U3" s="53"/>
      <c r="V3" s="53"/>
      <c r="W3" s="53"/>
      <c r="X3" s="53"/>
      <c r="Y3" s="53"/>
      <c r="Z3" s="53"/>
    </row>
    <row r="4" ht="13.5" customHeight="1">
      <c r="A4" s="54"/>
      <c r="B4" s="55" t="s">
        <v>92</v>
      </c>
      <c r="C4" s="56"/>
      <c r="D4" s="56"/>
      <c r="E4" s="56"/>
      <c r="F4" s="53"/>
      <c r="G4" s="53"/>
      <c r="H4" s="53"/>
      <c r="I4" s="53"/>
      <c r="J4" s="53"/>
      <c r="K4" s="53"/>
      <c r="L4" s="53"/>
      <c r="M4" s="53"/>
      <c r="N4" s="53"/>
      <c r="O4" s="53"/>
      <c r="P4" s="53"/>
      <c r="Q4" s="53"/>
      <c r="R4" s="53"/>
      <c r="S4" s="53"/>
      <c r="T4" s="53"/>
      <c r="U4" s="53"/>
      <c r="V4" s="53"/>
      <c r="W4" s="53"/>
      <c r="X4" s="53"/>
      <c r="Y4" s="53"/>
      <c r="Z4" s="53"/>
    </row>
    <row r="5" ht="21.0" customHeight="1">
      <c r="A5" s="57"/>
      <c r="B5" s="58" t="s">
        <v>93</v>
      </c>
      <c r="C5" s="53"/>
      <c r="D5" s="53"/>
      <c r="E5" s="59" t="s">
        <v>94</v>
      </c>
      <c r="F5" s="53"/>
      <c r="G5" s="53"/>
      <c r="H5" s="53"/>
      <c r="I5" s="53"/>
      <c r="J5" s="53"/>
      <c r="K5" s="53"/>
      <c r="L5" s="53"/>
      <c r="M5" s="53"/>
      <c r="N5" s="53"/>
      <c r="O5" s="53"/>
      <c r="P5" s="53"/>
      <c r="Q5" s="53"/>
      <c r="R5" s="53"/>
      <c r="S5" s="53"/>
      <c r="T5" s="53"/>
      <c r="U5" s="53"/>
      <c r="V5" s="53"/>
      <c r="W5" s="53"/>
      <c r="X5" s="53"/>
      <c r="Y5" s="53"/>
      <c r="Z5" s="53"/>
    </row>
    <row r="6" ht="20.25" customHeight="1">
      <c r="A6" s="57"/>
      <c r="B6" s="58" t="s">
        <v>95</v>
      </c>
      <c r="C6" s="53"/>
      <c r="D6" s="53"/>
      <c r="E6" s="59" t="s">
        <v>96</v>
      </c>
      <c r="F6" s="53"/>
      <c r="G6" s="53"/>
      <c r="H6" s="53"/>
      <c r="I6" s="53"/>
      <c r="J6" s="53"/>
      <c r="K6" s="53"/>
      <c r="L6" s="53"/>
      <c r="M6" s="53"/>
      <c r="N6" s="53"/>
      <c r="O6" s="53"/>
      <c r="P6" s="53"/>
      <c r="Q6" s="53"/>
      <c r="R6" s="53"/>
      <c r="S6" s="53"/>
      <c r="T6" s="53"/>
      <c r="U6" s="53"/>
      <c r="V6" s="53"/>
      <c r="W6" s="53"/>
      <c r="X6" s="53"/>
      <c r="Y6" s="53"/>
      <c r="Z6" s="53"/>
    </row>
    <row r="7" ht="20.25" customHeight="1">
      <c r="A7" s="57"/>
      <c r="B7" s="58"/>
      <c r="C7" s="53"/>
      <c r="D7" s="53"/>
      <c r="E7" s="59"/>
      <c r="F7" s="53"/>
      <c r="G7" s="53"/>
      <c r="H7" s="53"/>
      <c r="I7" s="53"/>
      <c r="J7" s="53"/>
      <c r="K7" s="53"/>
      <c r="L7" s="53"/>
      <c r="M7" s="53"/>
      <c r="N7" s="53"/>
      <c r="O7" s="53"/>
      <c r="P7" s="53"/>
      <c r="Q7" s="53"/>
      <c r="R7" s="53"/>
      <c r="S7" s="53"/>
      <c r="T7" s="53"/>
      <c r="U7" s="53"/>
      <c r="V7" s="53"/>
      <c r="W7" s="53"/>
      <c r="X7" s="53"/>
      <c r="Y7" s="53"/>
      <c r="Z7" s="53"/>
    </row>
    <row r="8" ht="20.25" customHeight="1">
      <c r="A8" s="60"/>
      <c r="F8" s="53"/>
      <c r="G8" s="53"/>
      <c r="H8" s="53"/>
      <c r="I8" s="53"/>
      <c r="J8" s="53"/>
      <c r="K8" s="53"/>
      <c r="L8" s="53"/>
      <c r="M8" s="53"/>
      <c r="N8" s="53"/>
      <c r="O8" s="53"/>
      <c r="P8" s="53"/>
      <c r="Q8" s="53"/>
      <c r="R8" s="53"/>
      <c r="S8" s="53"/>
      <c r="T8" s="53"/>
      <c r="U8" s="53"/>
      <c r="V8" s="53"/>
      <c r="W8" s="53"/>
      <c r="X8" s="53"/>
      <c r="Y8" s="53"/>
      <c r="Z8" s="53"/>
    </row>
    <row r="9" ht="13.5" customHeight="1">
      <c r="A9" s="57"/>
      <c r="B9" s="57"/>
      <c r="C9" s="57"/>
      <c r="D9" s="57"/>
      <c r="E9" s="57"/>
      <c r="F9" s="53"/>
      <c r="G9" s="53"/>
      <c r="H9" s="53"/>
      <c r="I9" s="53"/>
      <c r="J9" s="53"/>
      <c r="K9" s="53"/>
      <c r="L9" s="53"/>
      <c r="M9" s="53"/>
      <c r="N9" s="53"/>
      <c r="O9" s="53"/>
      <c r="P9" s="53"/>
      <c r="Q9" s="53"/>
      <c r="R9" s="53"/>
      <c r="S9" s="53"/>
      <c r="T9" s="53"/>
      <c r="U9" s="53"/>
      <c r="V9" s="53"/>
      <c r="W9" s="53"/>
      <c r="X9" s="53"/>
      <c r="Y9" s="53"/>
      <c r="Z9" s="53"/>
    </row>
    <row r="10" ht="13.5" customHeight="1">
      <c r="A10" s="61" t="s">
        <v>97</v>
      </c>
      <c r="B10" s="62" t="s">
        <v>98</v>
      </c>
      <c r="C10" s="62" t="s">
        <v>99</v>
      </c>
      <c r="D10" s="63" t="s">
        <v>100</v>
      </c>
      <c r="E10" s="64" t="s">
        <v>101</v>
      </c>
      <c r="F10" s="65" t="s">
        <v>102</v>
      </c>
      <c r="G10" s="53"/>
      <c r="H10" s="53"/>
      <c r="I10" s="53"/>
      <c r="J10" s="53"/>
      <c r="K10" s="53"/>
      <c r="L10" s="53"/>
      <c r="M10" s="53"/>
      <c r="N10" s="53"/>
      <c r="O10" s="53"/>
      <c r="P10" s="53"/>
      <c r="Q10" s="53"/>
      <c r="R10" s="53"/>
      <c r="S10" s="53"/>
      <c r="T10" s="53"/>
      <c r="U10" s="53"/>
      <c r="V10" s="53"/>
      <c r="W10" s="53"/>
      <c r="X10" s="53"/>
      <c r="Y10" s="53"/>
      <c r="Z10" s="53"/>
    </row>
    <row r="11" ht="15.0" customHeight="1">
      <c r="A11" s="66" t="s">
        <v>103</v>
      </c>
      <c r="B11" s="67" t="s">
        <v>104</v>
      </c>
      <c r="C11" s="68"/>
      <c r="D11" s="69"/>
      <c r="E11" s="70"/>
      <c r="F11" s="70"/>
      <c r="G11" s="53"/>
      <c r="H11" s="53"/>
      <c r="I11" s="53"/>
      <c r="J11" s="53"/>
      <c r="K11" s="53"/>
      <c r="L11" s="53"/>
      <c r="M11" s="53"/>
      <c r="N11" s="53"/>
      <c r="O11" s="53"/>
      <c r="P11" s="53"/>
      <c r="Q11" s="53"/>
      <c r="R11" s="53"/>
      <c r="S11" s="53"/>
      <c r="T11" s="53"/>
      <c r="U11" s="53"/>
      <c r="V11" s="53"/>
      <c r="W11" s="53"/>
      <c r="X11" s="53"/>
      <c r="Y11" s="53"/>
      <c r="Z11" s="53"/>
    </row>
    <row r="12" ht="15.0" customHeight="1">
      <c r="A12" s="71">
        <v>1.0</v>
      </c>
      <c r="B12" s="71" t="s">
        <v>105</v>
      </c>
      <c r="C12" s="71" t="s">
        <v>106</v>
      </c>
      <c r="D12" s="72">
        <v>2.0</v>
      </c>
      <c r="E12" s="73">
        <v>120000.0</v>
      </c>
      <c r="F12" s="74"/>
      <c r="G12" s="53"/>
      <c r="H12" s="53"/>
      <c r="I12" s="53"/>
      <c r="J12" s="53"/>
      <c r="K12" s="53"/>
      <c r="L12" s="53"/>
      <c r="M12" s="53"/>
      <c r="N12" s="53"/>
      <c r="O12" s="53"/>
      <c r="P12" s="53"/>
      <c r="Q12" s="53"/>
      <c r="R12" s="53"/>
      <c r="S12" s="53"/>
      <c r="T12" s="53"/>
      <c r="U12" s="53"/>
      <c r="V12" s="53"/>
      <c r="W12" s="53"/>
      <c r="X12" s="53"/>
      <c r="Y12" s="53"/>
      <c r="Z12" s="53"/>
    </row>
    <row r="13" ht="15.0" customHeight="1">
      <c r="A13" s="71">
        <v>2.0</v>
      </c>
      <c r="B13" s="71" t="s">
        <v>107</v>
      </c>
      <c r="C13" s="71" t="s">
        <v>108</v>
      </c>
      <c r="D13" s="72">
        <v>5.0</v>
      </c>
      <c r="E13" s="73">
        <v>300000.0</v>
      </c>
      <c r="F13" s="74"/>
      <c r="G13" s="53"/>
      <c r="H13" s="53"/>
      <c r="I13" s="53"/>
      <c r="J13" s="53"/>
      <c r="K13" s="53"/>
      <c r="L13" s="53"/>
      <c r="M13" s="53"/>
      <c r="N13" s="53"/>
      <c r="O13" s="53"/>
      <c r="P13" s="53"/>
      <c r="Q13" s="53"/>
      <c r="R13" s="53"/>
      <c r="S13" s="53"/>
      <c r="T13" s="53"/>
      <c r="U13" s="53"/>
      <c r="V13" s="53"/>
      <c r="W13" s="53"/>
      <c r="X13" s="53"/>
      <c r="Y13" s="53"/>
      <c r="Z13" s="53"/>
    </row>
    <row r="14" ht="15.0" customHeight="1">
      <c r="A14" s="71">
        <v>3.0</v>
      </c>
      <c r="B14" s="71" t="s">
        <v>109</v>
      </c>
      <c r="C14" s="71" t="s">
        <v>110</v>
      </c>
      <c r="D14" s="72">
        <v>4.0</v>
      </c>
      <c r="E14" s="73">
        <v>240000.0</v>
      </c>
      <c r="F14" s="74"/>
      <c r="G14" s="53"/>
      <c r="H14" s="53"/>
      <c r="I14" s="53"/>
      <c r="J14" s="53"/>
      <c r="K14" s="53"/>
      <c r="L14" s="53"/>
      <c r="M14" s="53"/>
      <c r="N14" s="53"/>
      <c r="O14" s="53"/>
      <c r="P14" s="53"/>
      <c r="Q14" s="53"/>
      <c r="R14" s="53"/>
      <c r="S14" s="53"/>
      <c r="T14" s="53"/>
      <c r="U14" s="53"/>
      <c r="V14" s="53"/>
      <c r="W14" s="53"/>
      <c r="X14" s="53"/>
      <c r="Y14" s="53"/>
      <c r="Z14" s="53"/>
    </row>
    <row r="15" ht="15.0" customHeight="1">
      <c r="A15" s="71">
        <v>4.0</v>
      </c>
      <c r="B15" s="71" t="s">
        <v>111</v>
      </c>
      <c r="C15" s="71" t="s">
        <v>112</v>
      </c>
      <c r="D15" s="72">
        <v>3.0</v>
      </c>
      <c r="E15" s="73">
        <v>180000.0</v>
      </c>
      <c r="F15" s="74"/>
      <c r="G15" s="53"/>
      <c r="H15" s="53"/>
      <c r="I15" s="53"/>
      <c r="J15" s="53"/>
      <c r="K15" s="53"/>
      <c r="L15" s="53"/>
      <c r="M15" s="53"/>
      <c r="N15" s="53"/>
      <c r="O15" s="53"/>
      <c r="P15" s="53"/>
      <c r="Q15" s="53"/>
      <c r="R15" s="53"/>
      <c r="S15" s="53"/>
      <c r="T15" s="53"/>
      <c r="U15" s="53"/>
      <c r="V15" s="53"/>
      <c r="W15" s="53"/>
      <c r="X15" s="53"/>
      <c r="Y15" s="53"/>
      <c r="Z15" s="53"/>
    </row>
    <row r="16" ht="15.0" customHeight="1">
      <c r="A16" s="71">
        <v>5.0</v>
      </c>
      <c r="B16" s="71" t="s">
        <v>113</v>
      </c>
      <c r="C16" s="71" t="s">
        <v>114</v>
      </c>
      <c r="D16" s="72">
        <v>4.0</v>
      </c>
      <c r="E16" s="73">
        <v>240000.0</v>
      </c>
      <c r="F16" s="74"/>
      <c r="G16" s="53"/>
      <c r="H16" s="53"/>
      <c r="I16" s="53"/>
      <c r="J16" s="53"/>
      <c r="K16" s="53"/>
      <c r="L16" s="53"/>
      <c r="M16" s="53"/>
      <c r="N16" s="53"/>
      <c r="O16" s="53"/>
      <c r="P16" s="53"/>
      <c r="Q16" s="53"/>
      <c r="R16" s="53"/>
      <c r="S16" s="53"/>
      <c r="T16" s="53"/>
      <c r="U16" s="53"/>
      <c r="V16" s="53"/>
      <c r="W16" s="53"/>
      <c r="X16" s="53"/>
      <c r="Y16" s="53"/>
      <c r="Z16" s="53"/>
    </row>
    <row r="17" ht="15.0" customHeight="1">
      <c r="A17" s="71">
        <v>6.0</v>
      </c>
      <c r="B17" s="71" t="s">
        <v>115</v>
      </c>
      <c r="C17" s="71" t="s">
        <v>116</v>
      </c>
      <c r="D17" s="72">
        <v>5.0</v>
      </c>
      <c r="E17" s="73">
        <v>300000.0</v>
      </c>
      <c r="F17" s="74"/>
      <c r="G17" s="53"/>
      <c r="H17" s="53"/>
      <c r="I17" s="53"/>
      <c r="J17" s="53"/>
      <c r="K17" s="53"/>
      <c r="L17" s="53"/>
      <c r="M17" s="53"/>
      <c r="N17" s="53"/>
      <c r="O17" s="53"/>
      <c r="P17" s="53"/>
      <c r="Q17" s="53"/>
      <c r="R17" s="53"/>
      <c r="S17" s="53"/>
      <c r="T17" s="53"/>
      <c r="U17" s="53"/>
      <c r="V17" s="53"/>
      <c r="W17" s="53"/>
      <c r="X17" s="53"/>
      <c r="Y17" s="53"/>
      <c r="Z17" s="53"/>
    </row>
    <row r="18" ht="15.0" customHeight="1">
      <c r="A18" s="71">
        <v>7.0</v>
      </c>
      <c r="B18" s="71" t="s">
        <v>117</v>
      </c>
      <c r="C18" s="71" t="s">
        <v>118</v>
      </c>
      <c r="D18" s="72">
        <v>2.0</v>
      </c>
      <c r="E18" s="73">
        <v>120000.0</v>
      </c>
      <c r="F18" s="74"/>
      <c r="G18" s="53"/>
      <c r="H18" s="53"/>
      <c r="I18" s="53"/>
      <c r="J18" s="53"/>
      <c r="K18" s="53"/>
      <c r="L18" s="53"/>
      <c r="M18" s="53"/>
      <c r="N18" s="53"/>
      <c r="O18" s="53"/>
      <c r="P18" s="53"/>
      <c r="Q18" s="53"/>
      <c r="R18" s="53"/>
      <c r="S18" s="53"/>
      <c r="T18" s="53"/>
      <c r="U18" s="53"/>
      <c r="V18" s="53"/>
      <c r="W18" s="53"/>
      <c r="X18" s="53"/>
      <c r="Y18" s="53"/>
      <c r="Z18" s="53"/>
    </row>
    <row r="19" ht="15.0" customHeight="1">
      <c r="A19" s="71">
        <v>8.0</v>
      </c>
      <c r="B19" s="71" t="s">
        <v>119</v>
      </c>
      <c r="C19" s="71" t="s">
        <v>120</v>
      </c>
      <c r="D19" s="72">
        <v>3.0</v>
      </c>
      <c r="E19" s="73">
        <v>180000.0</v>
      </c>
      <c r="F19" s="74"/>
      <c r="G19" s="53"/>
      <c r="H19" s="53"/>
      <c r="I19" s="53"/>
      <c r="J19" s="53"/>
      <c r="K19" s="53"/>
      <c r="L19" s="53"/>
      <c r="M19" s="53"/>
      <c r="N19" s="53"/>
      <c r="O19" s="53"/>
      <c r="P19" s="53"/>
      <c r="Q19" s="53"/>
      <c r="R19" s="53"/>
      <c r="S19" s="53"/>
      <c r="T19" s="53"/>
      <c r="U19" s="53"/>
      <c r="V19" s="53"/>
      <c r="W19" s="53"/>
      <c r="X19" s="53"/>
      <c r="Y19" s="53"/>
      <c r="Z19" s="53"/>
    </row>
    <row r="20" ht="23.25" customHeight="1">
      <c r="A20" s="75" t="s">
        <v>121</v>
      </c>
      <c r="B20" s="76" t="s">
        <v>122</v>
      </c>
      <c r="C20" s="76"/>
      <c r="D20" s="76"/>
      <c r="E20" s="76"/>
      <c r="F20" s="76"/>
      <c r="G20" s="53"/>
      <c r="H20" s="53"/>
      <c r="I20" s="53"/>
      <c r="J20" s="53"/>
      <c r="K20" s="53"/>
      <c r="L20" s="53"/>
      <c r="M20" s="53"/>
      <c r="N20" s="53"/>
      <c r="O20" s="53"/>
      <c r="P20" s="53"/>
      <c r="Q20" s="53"/>
      <c r="R20" s="53"/>
      <c r="S20" s="53"/>
      <c r="T20" s="53"/>
      <c r="U20" s="53"/>
      <c r="V20" s="53"/>
      <c r="W20" s="53"/>
      <c r="X20" s="53"/>
      <c r="Y20" s="53"/>
      <c r="Z20" s="53"/>
    </row>
    <row r="21" ht="15.0" customHeight="1">
      <c r="A21" s="71">
        <v>1.0</v>
      </c>
      <c r="B21" s="71" t="s">
        <v>123</v>
      </c>
      <c r="C21" s="71" t="s">
        <v>124</v>
      </c>
      <c r="D21" s="72">
        <v>5.0</v>
      </c>
      <c r="E21" s="73">
        <v>400000.0</v>
      </c>
      <c r="F21" s="77"/>
      <c r="G21" s="53"/>
      <c r="H21" s="53"/>
      <c r="I21" s="53"/>
      <c r="J21" s="53"/>
      <c r="K21" s="53"/>
      <c r="L21" s="53"/>
      <c r="M21" s="53"/>
      <c r="N21" s="53"/>
      <c r="O21" s="53"/>
      <c r="P21" s="53"/>
      <c r="Q21" s="53"/>
      <c r="R21" s="53"/>
      <c r="S21" s="53"/>
      <c r="T21" s="53"/>
      <c r="U21" s="53"/>
      <c r="V21" s="53"/>
      <c r="W21" s="53"/>
      <c r="X21" s="53"/>
      <c r="Y21" s="53"/>
      <c r="Z21" s="53"/>
    </row>
    <row r="22" ht="15.0" customHeight="1">
      <c r="A22" s="71">
        <v>2.0</v>
      </c>
      <c r="B22" s="71" t="s">
        <v>125</v>
      </c>
      <c r="C22" s="71" t="s">
        <v>126</v>
      </c>
      <c r="D22" s="72">
        <v>4.0</v>
      </c>
      <c r="E22" s="73">
        <v>320000.0</v>
      </c>
      <c r="F22" s="77"/>
      <c r="G22" s="53"/>
      <c r="H22" s="53"/>
      <c r="I22" s="53"/>
      <c r="J22" s="53"/>
      <c r="K22" s="53"/>
      <c r="L22" s="53"/>
      <c r="M22" s="53"/>
      <c r="N22" s="53"/>
      <c r="O22" s="53"/>
      <c r="P22" s="53"/>
      <c r="Q22" s="53"/>
      <c r="R22" s="53"/>
      <c r="S22" s="53"/>
      <c r="T22" s="53"/>
      <c r="U22" s="53"/>
      <c r="V22" s="53"/>
      <c r="W22" s="53"/>
      <c r="X22" s="53"/>
      <c r="Y22" s="53"/>
      <c r="Z22" s="53"/>
    </row>
    <row r="23" ht="15.0" customHeight="1">
      <c r="A23" s="71">
        <v>3.0</v>
      </c>
      <c r="B23" s="71" t="s">
        <v>127</v>
      </c>
      <c r="C23" s="71" t="s">
        <v>128</v>
      </c>
      <c r="D23" s="72">
        <v>3.0</v>
      </c>
      <c r="E23" s="73">
        <v>240000.0</v>
      </c>
      <c r="F23" s="77"/>
      <c r="G23" s="53"/>
      <c r="H23" s="53"/>
      <c r="I23" s="53"/>
      <c r="J23" s="53"/>
      <c r="K23" s="53"/>
      <c r="L23" s="53"/>
      <c r="M23" s="53"/>
      <c r="N23" s="53"/>
      <c r="O23" s="53"/>
      <c r="P23" s="53"/>
      <c r="Q23" s="53"/>
      <c r="R23" s="53"/>
      <c r="S23" s="53"/>
      <c r="T23" s="53"/>
      <c r="U23" s="53"/>
      <c r="V23" s="53"/>
      <c r="W23" s="53"/>
      <c r="X23" s="53"/>
      <c r="Y23" s="53"/>
      <c r="Z23" s="53"/>
    </row>
    <row r="24" ht="15.0" customHeight="1">
      <c r="A24" s="71">
        <v>4.0</v>
      </c>
      <c r="B24" s="71" t="s">
        <v>129</v>
      </c>
      <c r="C24" s="71" t="s">
        <v>130</v>
      </c>
      <c r="D24" s="72">
        <v>5.0</v>
      </c>
      <c r="E24" s="73">
        <v>400000.0</v>
      </c>
      <c r="F24" s="77"/>
      <c r="G24" s="53"/>
      <c r="H24" s="53"/>
      <c r="I24" s="53"/>
      <c r="J24" s="53"/>
      <c r="K24" s="53"/>
      <c r="L24" s="53"/>
      <c r="M24" s="53"/>
      <c r="N24" s="53"/>
      <c r="O24" s="53"/>
      <c r="P24" s="53"/>
      <c r="Q24" s="53"/>
      <c r="R24" s="53"/>
      <c r="S24" s="53"/>
      <c r="T24" s="53"/>
      <c r="U24" s="53"/>
      <c r="V24" s="53"/>
      <c r="W24" s="53"/>
      <c r="X24" s="53"/>
      <c r="Y24" s="53"/>
      <c r="Z24" s="53"/>
    </row>
    <row r="25" ht="15.0" customHeight="1">
      <c r="A25" s="71">
        <v>5.0</v>
      </c>
      <c r="B25" s="71" t="s">
        <v>131</v>
      </c>
      <c r="C25" s="71" t="s">
        <v>132</v>
      </c>
      <c r="D25" s="72">
        <v>3.0</v>
      </c>
      <c r="E25" s="73">
        <v>240000.0</v>
      </c>
      <c r="F25" s="77"/>
      <c r="G25" s="53"/>
      <c r="H25" s="53"/>
      <c r="I25" s="53"/>
      <c r="J25" s="53"/>
      <c r="K25" s="53"/>
      <c r="L25" s="53"/>
      <c r="M25" s="53"/>
      <c r="N25" s="53"/>
      <c r="O25" s="53"/>
      <c r="P25" s="53"/>
      <c r="Q25" s="53"/>
      <c r="R25" s="53"/>
      <c r="S25" s="53"/>
      <c r="T25" s="53"/>
      <c r="U25" s="53"/>
      <c r="V25" s="53"/>
      <c r="W25" s="53"/>
      <c r="X25" s="53"/>
      <c r="Y25" s="53"/>
      <c r="Z25" s="53"/>
    </row>
    <row r="26" ht="15.0" customHeight="1">
      <c r="A26" s="71">
        <v>6.0</v>
      </c>
      <c r="B26" s="71" t="s">
        <v>133</v>
      </c>
      <c r="C26" s="71" t="s">
        <v>134</v>
      </c>
      <c r="D26" s="72">
        <v>6.0</v>
      </c>
      <c r="E26" s="73">
        <v>480000.0</v>
      </c>
      <c r="F26" s="77"/>
      <c r="G26" s="53"/>
      <c r="H26" s="53"/>
      <c r="I26" s="53"/>
      <c r="J26" s="53"/>
      <c r="K26" s="53"/>
      <c r="L26" s="53"/>
      <c r="M26" s="53"/>
      <c r="N26" s="53"/>
      <c r="O26" s="53"/>
      <c r="P26" s="53"/>
      <c r="Q26" s="53"/>
      <c r="R26" s="53"/>
      <c r="S26" s="53"/>
      <c r="T26" s="53"/>
      <c r="U26" s="53"/>
      <c r="V26" s="53"/>
      <c r="W26" s="53"/>
      <c r="X26" s="53"/>
      <c r="Y26" s="53"/>
      <c r="Z26" s="53"/>
    </row>
    <row r="27" ht="15.0" customHeight="1">
      <c r="A27" s="71">
        <v>7.0</v>
      </c>
      <c r="B27" s="71" t="s">
        <v>135</v>
      </c>
      <c r="C27" s="71" t="s">
        <v>136</v>
      </c>
      <c r="D27" s="72">
        <v>5.0</v>
      </c>
      <c r="E27" s="73">
        <v>400000.0</v>
      </c>
      <c r="F27" s="77"/>
      <c r="G27" s="53"/>
      <c r="H27" s="53"/>
      <c r="I27" s="53"/>
      <c r="J27" s="53"/>
      <c r="K27" s="53"/>
      <c r="L27" s="53"/>
      <c r="M27" s="53"/>
      <c r="N27" s="53"/>
      <c r="O27" s="53"/>
      <c r="P27" s="53"/>
      <c r="Q27" s="53"/>
      <c r="R27" s="53"/>
      <c r="S27" s="53"/>
      <c r="T27" s="53"/>
      <c r="U27" s="53"/>
      <c r="V27" s="53"/>
      <c r="W27" s="53"/>
      <c r="X27" s="53"/>
      <c r="Y27" s="53"/>
      <c r="Z27" s="53"/>
    </row>
    <row r="28" ht="15.0" customHeight="1">
      <c r="A28" s="71">
        <v>8.0</v>
      </c>
      <c r="B28" s="71" t="s">
        <v>137</v>
      </c>
      <c r="C28" s="71" t="s">
        <v>138</v>
      </c>
      <c r="D28" s="72">
        <v>4.0</v>
      </c>
      <c r="E28" s="73">
        <v>320000.0</v>
      </c>
      <c r="F28" s="77"/>
      <c r="G28" s="53"/>
      <c r="H28" s="53"/>
      <c r="I28" s="53"/>
      <c r="J28" s="53"/>
      <c r="K28" s="53"/>
      <c r="L28" s="53"/>
      <c r="M28" s="53"/>
      <c r="N28" s="53"/>
      <c r="O28" s="53"/>
      <c r="P28" s="53"/>
      <c r="Q28" s="53"/>
      <c r="R28" s="53"/>
      <c r="S28" s="53"/>
      <c r="T28" s="53"/>
      <c r="U28" s="53"/>
      <c r="V28" s="53"/>
      <c r="W28" s="53"/>
      <c r="X28" s="53"/>
      <c r="Y28" s="53"/>
      <c r="Z28" s="53"/>
    </row>
    <row r="29" ht="15.0" customHeight="1">
      <c r="A29" s="71">
        <v>9.0</v>
      </c>
      <c r="B29" s="71" t="s">
        <v>139</v>
      </c>
      <c r="C29" s="71" t="s">
        <v>140</v>
      </c>
      <c r="D29" s="72">
        <v>6.0</v>
      </c>
      <c r="E29" s="73">
        <v>480000.0</v>
      </c>
      <c r="F29" s="77"/>
      <c r="G29" s="53"/>
      <c r="H29" s="53"/>
      <c r="I29" s="53"/>
      <c r="J29" s="53"/>
      <c r="K29" s="53"/>
      <c r="L29" s="53"/>
      <c r="M29" s="53"/>
      <c r="N29" s="53"/>
      <c r="O29" s="53"/>
      <c r="P29" s="53"/>
      <c r="Q29" s="53"/>
      <c r="R29" s="53"/>
      <c r="S29" s="53"/>
      <c r="T29" s="53"/>
      <c r="U29" s="53"/>
      <c r="V29" s="53"/>
      <c r="W29" s="53"/>
      <c r="X29" s="53"/>
      <c r="Y29" s="53"/>
      <c r="Z29" s="53"/>
    </row>
    <row r="30" ht="15.0" customHeight="1">
      <c r="A30" s="71">
        <v>10.0</v>
      </c>
      <c r="B30" s="71" t="s">
        <v>141</v>
      </c>
      <c r="C30" s="71" t="s">
        <v>142</v>
      </c>
      <c r="D30" s="72">
        <v>6.0</v>
      </c>
      <c r="E30" s="73">
        <v>480000.0</v>
      </c>
      <c r="F30" s="77"/>
      <c r="G30" s="53"/>
      <c r="H30" s="53"/>
      <c r="I30" s="53"/>
      <c r="J30" s="53"/>
      <c r="K30" s="53"/>
      <c r="L30" s="53"/>
      <c r="M30" s="53"/>
      <c r="N30" s="53"/>
      <c r="O30" s="53"/>
      <c r="P30" s="53"/>
      <c r="Q30" s="53"/>
      <c r="R30" s="53"/>
      <c r="S30" s="53"/>
      <c r="T30" s="53"/>
      <c r="U30" s="53"/>
      <c r="V30" s="53"/>
      <c r="W30" s="53"/>
      <c r="X30" s="53"/>
      <c r="Y30" s="53"/>
      <c r="Z30" s="53"/>
    </row>
    <row r="31" ht="15.0" customHeight="1">
      <c r="A31" s="71">
        <v>11.0</v>
      </c>
      <c r="B31" s="71" t="s">
        <v>143</v>
      </c>
      <c r="C31" s="71" t="s">
        <v>144</v>
      </c>
      <c r="D31" s="72">
        <v>5.0</v>
      </c>
      <c r="E31" s="73">
        <v>400000.0</v>
      </c>
      <c r="F31" s="77"/>
      <c r="G31" s="53"/>
      <c r="H31" s="53"/>
      <c r="I31" s="53"/>
      <c r="J31" s="53"/>
      <c r="K31" s="53"/>
      <c r="L31" s="53"/>
      <c r="M31" s="53"/>
      <c r="N31" s="53"/>
      <c r="O31" s="53"/>
      <c r="P31" s="53"/>
      <c r="Q31" s="53"/>
      <c r="R31" s="53"/>
      <c r="S31" s="53"/>
      <c r="T31" s="53"/>
      <c r="U31" s="53"/>
      <c r="V31" s="53"/>
      <c r="W31" s="53"/>
      <c r="X31" s="53"/>
      <c r="Y31" s="53"/>
      <c r="Z31" s="53"/>
    </row>
    <row r="32" ht="15.0" customHeight="1">
      <c r="A32" s="71">
        <v>12.0</v>
      </c>
      <c r="B32" s="71" t="s">
        <v>145</v>
      </c>
      <c r="C32" s="71" t="s">
        <v>146</v>
      </c>
      <c r="D32" s="72">
        <v>3.0</v>
      </c>
      <c r="E32" s="73">
        <v>240000.0</v>
      </c>
      <c r="F32" s="77"/>
      <c r="G32" s="53"/>
      <c r="H32" s="53"/>
      <c r="I32" s="53"/>
      <c r="J32" s="53"/>
      <c r="K32" s="53"/>
      <c r="L32" s="53"/>
      <c r="M32" s="53"/>
      <c r="N32" s="53"/>
      <c r="O32" s="53"/>
      <c r="P32" s="53"/>
      <c r="Q32" s="53"/>
      <c r="R32" s="53"/>
      <c r="S32" s="53"/>
      <c r="T32" s="53"/>
      <c r="U32" s="53"/>
      <c r="V32" s="53"/>
      <c r="W32" s="53"/>
      <c r="X32" s="53"/>
      <c r="Y32" s="53"/>
      <c r="Z32" s="53"/>
    </row>
    <row r="33" ht="15.0" customHeight="1">
      <c r="A33" s="71">
        <v>13.0</v>
      </c>
      <c r="B33" s="71" t="s">
        <v>147</v>
      </c>
      <c r="C33" s="71" t="s">
        <v>148</v>
      </c>
      <c r="D33" s="72">
        <v>3.0</v>
      </c>
      <c r="E33" s="73">
        <v>240000.0</v>
      </c>
      <c r="F33" s="77"/>
      <c r="G33" s="53"/>
      <c r="H33" s="53"/>
      <c r="I33" s="53"/>
      <c r="J33" s="53"/>
      <c r="K33" s="53"/>
      <c r="L33" s="53"/>
      <c r="M33" s="53"/>
      <c r="N33" s="53"/>
      <c r="O33" s="53"/>
      <c r="P33" s="53"/>
      <c r="Q33" s="53"/>
      <c r="R33" s="53"/>
      <c r="S33" s="53"/>
      <c r="T33" s="53"/>
      <c r="U33" s="53"/>
      <c r="V33" s="53"/>
      <c r="W33" s="53"/>
      <c r="X33" s="53"/>
      <c r="Y33" s="53"/>
      <c r="Z33" s="53"/>
    </row>
    <row r="34" ht="15.0" customHeight="1">
      <c r="A34" s="71">
        <v>14.0</v>
      </c>
      <c r="B34" s="71" t="s">
        <v>149</v>
      </c>
      <c r="C34" s="71" t="s">
        <v>150</v>
      </c>
      <c r="D34" s="72">
        <v>5.0</v>
      </c>
      <c r="E34" s="73">
        <v>400000.0</v>
      </c>
      <c r="F34" s="77"/>
      <c r="G34" s="53"/>
      <c r="H34" s="53"/>
      <c r="I34" s="53"/>
      <c r="J34" s="53"/>
      <c r="K34" s="53"/>
      <c r="L34" s="53"/>
      <c r="M34" s="53"/>
      <c r="N34" s="53"/>
      <c r="O34" s="53"/>
      <c r="P34" s="53"/>
      <c r="Q34" s="53"/>
      <c r="R34" s="53"/>
      <c r="S34" s="53"/>
      <c r="T34" s="53"/>
      <c r="U34" s="53"/>
      <c r="V34" s="53"/>
      <c r="W34" s="53"/>
      <c r="X34" s="53"/>
      <c r="Y34" s="53"/>
      <c r="Z34" s="53"/>
    </row>
    <row r="35" ht="15.0" customHeight="1">
      <c r="A35" s="71">
        <v>15.0</v>
      </c>
      <c r="B35" s="71" t="s">
        <v>151</v>
      </c>
      <c r="C35" s="71" t="s">
        <v>152</v>
      </c>
      <c r="D35" s="72">
        <v>4.0</v>
      </c>
      <c r="E35" s="73">
        <v>320000.0</v>
      </c>
      <c r="F35" s="77"/>
      <c r="G35" s="53"/>
      <c r="H35" s="53"/>
      <c r="I35" s="53"/>
      <c r="J35" s="53"/>
      <c r="K35" s="53"/>
      <c r="L35" s="53"/>
      <c r="M35" s="53"/>
      <c r="N35" s="53"/>
      <c r="O35" s="53"/>
      <c r="P35" s="53"/>
      <c r="Q35" s="53"/>
      <c r="R35" s="53"/>
      <c r="S35" s="53"/>
      <c r="T35" s="53"/>
      <c r="U35" s="53"/>
      <c r="V35" s="53"/>
      <c r="W35" s="53"/>
      <c r="X35" s="53"/>
      <c r="Y35" s="53"/>
      <c r="Z35" s="53"/>
    </row>
    <row r="36" ht="15.0" customHeight="1">
      <c r="A36" s="71">
        <v>16.0</v>
      </c>
      <c r="B36" s="71" t="s">
        <v>153</v>
      </c>
      <c r="C36" s="71" t="s">
        <v>154</v>
      </c>
      <c r="D36" s="72">
        <v>5.0</v>
      </c>
      <c r="E36" s="73">
        <v>400000.0</v>
      </c>
      <c r="F36" s="77"/>
      <c r="G36" s="53"/>
      <c r="H36" s="53"/>
      <c r="I36" s="53"/>
      <c r="J36" s="53"/>
      <c r="K36" s="53"/>
      <c r="L36" s="53"/>
      <c r="M36" s="53"/>
      <c r="N36" s="53"/>
      <c r="O36" s="53"/>
      <c r="P36" s="53"/>
      <c r="Q36" s="53"/>
      <c r="R36" s="53"/>
      <c r="S36" s="53"/>
      <c r="T36" s="53"/>
      <c r="U36" s="53"/>
      <c r="V36" s="53"/>
      <c r="W36" s="53"/>
      <c r="X36" s="53"/>
      <c r="Y36" s="53"/>
      <c r="Z36" s="53"/>
    </row>
    <row r="37" ht="15.0" customHeight="1">
      <c r="A37" s="71">
        <v>17.0</v>
      </c>
      <c r="B37" s="71" t="s">
        <v>155</v>
      </c>
      <c r="C37" s="71" t="s">
        <v>156</v>
      </c>
      <c r="D37" s="72">
        <v>3.0</v>
      </c>
      <c r="E37" s="73">
        <v>240000.0</v>
      </c>
      <c r="F37" s="77"/>
      <c r="G37" s="53"/>
      <c r="H37" s="53"/>
      <c r="I37" s="53"/>
      <c r="J37" s="53"/>
      <c r="K37" s="53"/>
      <c r="L37" s="53"/>
      <c r="M37" s="53"/>
      <c r="N37" s="53"/>
      <c r="O37" s="53"/>
      <c r="P37" s="53"/>
      <c r="Q37" s="53"/>
      <c r="R37" s="53"/>
      <c r="S37" s="53"/>
      <c r="T37" s="53"/>
      <c r="U37" s="53"/>
      <c r="V37" s="53"/>
      <c r="W37" s="53"/>
      <c r="X37" s="53"/>
      <c r="Y37" s="53"/>
      <c r="Z37" s="53"/>
    </row>
    <row r="38" ht="15.0" customHeight="1">
      <c r="A38" s="71">
        <v>18.0</v>
      </c>
      <c r="B38" s="71" t="s">
        <v>157</v>
      </c>
      <c r="C38" s="71" t="s">
        <v>158</v>
      </c>
      <c r="D38" s="72">
        <v>2.0</v>
      </c>
      <c r="E38" s="73">
        <v>160000.0</v>
      </c>
      <c r="F38" s="77"/>
      <c r="G38" s="53"/>
      <c r="H38" s="53"/>
      <c r="I38" s="53"/>
      <c r="J38" s="53"/>
      <c r="K38" s="53"/>
      <c r="L38" s="53"/>
      <c r="M38" s="53"/>
      <c r="N38" s="53"/>
      <c r="O38" s="53"/>
      <c r="P38" s="53"/>
      <c r="Q38" s="53"/>
      <c r="R38" s="53"/>
      <c r="S38" s="53"/>
      <c r="T38" s="53"/>
      <c r="U38" s="53"/>
      <c r="V38" s="53"/>
      <c r="W38" s="53"/>
      <c r="X38" s="53"/>
      <c r="Y38" s="53"/>
      <c r="Z38" s="53"/>
    </row>
    <row r="39" ht="15.0" customHeight="1">
      <c r="A39" s="71">
        <v>19.0</v>
      </c>
      <c r="B39" s="71" t="s">
        <v>159</v>
      </c>
      <c r="C39" s="71" t="s">
        <v>160</v>
      </c>
      <c r="D39" s="72">
        <v>3.0</v>
      </c>
      <c r="E39" s="73">
        <v>240000.0</v>
      </c>
      <c r="F39" s="77"/>
      <c r="G39" s="53"/>
      <c r="H39" s="53"/>
      <c r="I39" s="53"/>
      <c r="J39" s="53"/>
      <c r="K39" s="53"/>
      <c r="L39" s="53"/>
      <c r="M39" s="53"/>
      <c r="N39" s="53"/>
      <c r="O39" s="53"/>
      <c r="P39" s="53"/>
      <c r="Q39" s="53"/>
      <c r="R39" s="53"/>
      <c r="S39" s="53"/>
      <c r="T39" s="53"/>
      <c r="U39" s="53"/>
      <c r="V39" s="53"/>
      <c r="W39" s="53"/>
      <c r="X39" s="53"/>
      <c r="Y39" s="53"/>
      <c r="Z39" s="53"/>
    </row>
    <row r="40" ht="15.0" customHeight="1">
      <c r="A40" s="71">
        <v>20.0</v>
      </c>
      <c r="B40" s="71" t="s">
        <v>161</v>
      </c>
      <c r="C40" s="71" t="s">
        <v>162</v>
      </c>
      <c r="D40" s="72">
        <v>3.0</v>
      </c>
      <c r="E40" s="73">
        <v>240000.0</v>
      </c>
      <c r="F40" s="77"/>
      <c r="G40" s="53"/>
      <c r="H40" s="53"/>
      <c r="I40" s="53"/>
      <c r="J40" s="53"/>
      <c r="K40" s="53"/>
      <c r="L40" s="53"/>
      <c r="M40" s="53"/>
      <c r="N40" s="53"/>
      <c r="O40" s="53"/>
      <c r="P40" s="53"/>
      <c r="Q40" s="53"/>
      <c r="R40" s="53"/>
      <c r="S40" s="53"/>
      <c r="T40" s="53"/>
      <c r="U40" s="53"/>
      <c r="V40" s="53"/>
      <c r="W40" s="53"/>
      <c r="X40" s="53"/>
      <c r="Y40" s="53"/>
      <c r="Z40" s="53"/>
    </row>
    <row r="41" ht="15.0" customHeight="1">
      <c r="A41" s="71">
        <v>21.0</v>
      </c>
      <c r="B41" s="71" t="s">
        <v>163</v>
      </c>
      <c r="C41" s="71" t="s">
        <v>164</v>
      </c>
      <c r="D41" s="72">
        <v>2.0</v>
      </c>
      <c r="E41" s="73">
        <v>160000.0</v>
      </c>
      <c r="F41" s="77"/>
      <c r="G41" s="53"/>
      <c r="H41" s="53"/>
      <c r="I41" s="53"/>
      <c r="J41" s="53"/>
      <c r="K41" s="53"/>
      <c r="L41" s="53"/>
      <c r="M41" s="53"/>
      <c r="N41" s="53"/>
      <c r="O41" s="53"/>
      <c r="P41" s="53"/>
      <c r="Q41" s="53"/>
      <c r="R41" s="53"/>
      <c r="S41" s="53"/>
      <c r="T41" s="53"/>
      <c r="U41" s="53"/>
      <c r="V41" s="53"/>
      <c r="W41" s="53"/>
      <c r="X41" s="53"/>
      <c r="Y41" s="53"/>
      <c r="Z41" s="53"/>
    </row>
    <row r="42" ht="15.0" customHeight="1">
      <c r="A42" s="71">
        <v>22.0</v>
      </c>
      <c r="B42" s="71" t="s">
        <v>165</v>
      </c>
      <c r="C42" s="71" t="s">
        <v>120</v>
      </c>
      <c r="D42" s="72">
        <v>8.0</v>
      </c>
      <c r="E42" s="73">
        <v>640000.0</v>
      </c>
      <c r="F42" s="77"/>
      <c r="G42" s="53"/>
      <c r="H42" s="53"/>
      <c r="I42" s="53"/>
      <c r="J42" s="53"/>
      <c r="K42" s="53"/>
      <c r="L42" s="53"/>
      <c r="M42" s="53"/>
      <c r="N42" s="53"/>
      <c r="O42" s="53"/>
      <c r="P42" s="53"/>
      <c r="Q42" s="53"/>
      <c r="R42" s="53"/>
      <c r="S42" s="53"/>
      <c r="T42" s="53"/>
      <c r="U42" s="53"/>
      <c r="V42" s="53"/>
      <c r="W42" s="53"/>
      <c r="X42" s="53"/>
      <c r="Y42" s="53"/>
      <c r="Z42" s="53"/>
    </row>
    <row r="43" ht="15.0" customHeight="1">
      <c r="A43" s="71">
        <v>23.0</v>
      </c>
      <c r="B43" s="71" t="s">
        <v>166</v>
      </c>
      <c r="C43" s="71" t="s">
        <v>167</v>
      </c>
      <c r="D43" s="72">
        <v>5.0</v>
      </c>
      <c r="E43" s="73">
        <v>400000.0</v>
      </c>
      <c r="F43" s="77"/>
      <c r="G43" s="53"/>
      <c r="H43" s="53"/>
      <c r="I43" s="53"/>
      <c r="J43" s="53"/>
      <c r="K43" s="53"/>
      <c r="L43" s="53"/>
      <c r="M43" s="53"/>
      <c r="N43" s="53"/>
      <c r="O43" s="53"/>
      <c r="P43" s="53"/>
      <c r="Q43" s="53"/>
      <c r="R43" s="53"/>
      <c r="S43" s="53"/>
      <c r="T43" s="53"/>
      <c r="U43" s="53"/>
      <c r="V43" s="53"/>
      <c r="W43" s="53"/>
      <c r="X43" s="53"/>
      <c r="Y43" s="53"/>
      <c r="Z43" s="53"/>
    </row>
    <row r="44" ht="15.0" customHeight="1">
      <c r="A44" s="71">
        <v>24.0</v>
      </c>
      <c r="B44" s="71" t="s">
        <v>168</v>
      </c>
      <c r="C44" s="71" t="s">
        <v>169</v>
      </c>
      <c r="D44" s="72">
        <v>6.0</v>
      </c>
      <c r="E44" s="73">
        <v>480000.0</v>
      </c>
      <c r="F44" s="77"/>
      <c r="G44" s="53"/>
      <c r="H44" s="53"/>
      <c r="I44" s="53"/>
      <c r="J44" s="53"/>
      <c r="K44" s="53"/>
      <c r="L44" s="53"/>
      <c r="M44" s="53"/>
      <c r="N44" s="53"/>
      <c r="O44" s="53"/>
      <c r="P44" s="53"/>
      <c r="Q44" s="53"/>
      <c r="R44" s="53"/>
      <c r="S44" s="53"/>
      <c r="T44" s="53"/>
      <c r="U44" s="53"/>
      <c r="V44" s="53"/>
      <c r="W44" s="53"/>
      <c r="X44" s="53"/>
      <c r="Y44" s="53"/>
      <c r="Z44" s="53"/>
    </row>
    <row r="45" ht="15.0" customHeight="1">
      <c r="A45" s="71">
        <v>25.0</v>
      </c>
      <c r="B45" s="71" t="s">
        <v>170</v>
      </c>
      <c r="C45" s="71" t="s">
        <v>171</v>
      </c>
      <c r="D45" s="72">
        <v>5.0</v>
      </c>
      <c r="E45" s="73">
        <v>400000.0</v>
      </c>
      <c r="F45" s="77"/>
      <c r="G45" s="53"/>
      <c r="H45" s="53"/>
      <c r="I45" s="53"/>
      <c r="J45" s="53"/>
      <c r="K45" s="53"/>
      <c r="L45" s="53"/>
      <c r="M45" s="53"/>
      <c r="N45" s="53"/>
      <c r="O45" s="53"/>
      <c r="P45" s="53"/>
      <c r="Q45" s="53"/>
      <c r="R45" s="53"/>
      <c r="S45" s="53"/>
      <c r="T45" s="53"/>
      <c r="U45" s="53"/>
      <c r="V45" s="53"/>
      <c r="W45" s="53"/>
      <c r="X45" s="53"/>
      <c r="Y45" s="53"/>
      <c r="Z45" s="53"/>
    </row>
    <row r="46" ht="15.0" customHeight="1">
      <c r="A46" s="71">
        <v>26.0</v>
      </c>
      <c r="B46" s="71" t="s">
        <v>172</v>
      </c>
      <c r="C46" s="71" t="s">
        <v>173</v>
      </c>
      <c r="D46" s="72">
        <v>25.0</v>
      </c>
      <c r="E46" s="73">
        <v>2000000.0</v>
      </c>
      <c r="F46" s="77"/>
      <c r="G46" s="53"/>
      <c r="H46" s="53"/>
      <c r="I46" s="53"/>
      <c r="J46" s="53"/>
      <c r="K46" s="53"/>
      <c r="L46" s="53"/>
      <c r="M46" s="53"/>
      <c r="N46" s="53"/>
      <c r="O46" s="53"/>
      <c r="P46" s="53"/>
      <c r="Q46" s="53"/>
      <c r="R46" s="53"/>
      <c r="S46" s="53"/>
      <c r="T46" s="53"/>
      <c r="U46" s="53"/>
      <c r="V46" s="53"/>
      <c r="W46" s="53"/>
      <c r="X46" s="53"/>
      <c r="Y46" s="53"/>
      <c r="Z46" s="53"/>
    </row>
    <row r="47" ht="15.0" customHeight="1">
      <c r="A47" s="71">
        <v>27.0</v>
      </c>
      <c r="B47" s="71" t="s">
        <v>174</v>
      </c>
      <c r="C47" s="71" t="s">
        <v>175</v>
      </c>
      <c r="D47" s="72">
        <v>8.0</v>
      </c>
      <c r="E47" s="73">
        <v>640000.0</v>
      </c>
      <c r="F47" s="77"/>
      <c r="G47" s="53"/>
      <c r="H47" s="53"/>
      <c r="I47" s="53"/>
      <c r="J47" s="53"/>
      <c r="K47" s="53"/>
      <c r="L47" s="53"/>
      <c r="M47" s="53"/>
      <c r="N47" s="53"/>
      <c r="O47" s="53"/>
      <c r="P47" s="53"/>
      <c r="Q47" s="53"/>
      <c r="R47" s="53"/>
      <c r="S47" s="53"/>
      <c r="T47" s="53"/>
      <c r="U47" s="53"/>
      <c r="V47" s="53"/>
      <c r="W47" s="53"/>
      <c r="X47" s="53"/>
      <c r="Y47" s="53"/>
      <c r="Z47" s="53"/>
    </row>
    <row r="48" ht="15.0" customHeight="1">
      <c r="A48" s="71">
        <v>28.0</v>
      </c>
      <c r="B48" s="71" t="s">
        <v>176</v>
      </c>
      <c r="C48" s="71" t="s">
        <v>177</v>
      </c>
      <c r="D48" s="72">
        <v>6.0</v>
      </c>
      <c r="E48" s="73">
        <v>480000.0</v>
      </c>
      <c r="F48" s="77"/>
      <c r="G48" s="53"/>
      <c r="H48" s="53"/>
      <c r="I48" s="53"/>
      <c r="J48" s="53"/>
      <c r="K48" s="53"/>
      <c r="L48" s="53"/>
      <c r="M48" s="53"/>
      <c r="N48" s="53"/>
      <c r="O48" s="53"/>
      <c r="P48" s="53"/>
      <c r="Q48" s="53"/>
      <c r="R48" s="53"/>
      <c r="S48" s="53"/>
      <c r="T48" s="53"/>
      <c r="U48" s="53"/>
      <c r="V48" s="53"/>
      <c r="W48" s="53"/>
      <c r="X48" s="53"/>
      <c r="Y48" s="53"/>
      <c r="Z48" s="53"/>
    </row>
    <row r="49" ht="15.0" customHeight="1">
      <c r="A49" s="71">
        <v>29.0</v>
      </c>
      <c r="B49" s="71" t="s">
        <v>178</v>
      </c>
      <c r="C49" s="71" t="s">
        <v>179</v>
      </c>
      <c r="D49" s="72">
        <v>3.0</v>
      </c>
      <c r="E49" s="73">
        <v>240000.0</v>
      </c>
      <c r="F49" s="77"/>
      <c r="G49" s="53"/>
      <c r="H49" s="53"/>
      <c r="I49" s="53"/>
      <c r="J49" s="53"/>
      <c r="K49" s="53"/>
      <c r="L49" s="53"/>
      <c r="M49" s="53"/>
      <c r="N49" s="53"/>
      <c r="O49" s="53"/>
      <c r="P49" s="53"/>
      <c r="Q49" s="53"/>
      <c r="R49" s="53"/>
      <c r="S49" s="53"/>
      <c r="T49" s="53"/>
      <c r="U49" s="53"/>
      <c r="V49" s="53"/>
      <c r="W49" s="53"/>
      <c r="X49" s="53"/>
      <c r="Y49" s="53"/>
      <c r="Z49" s="53"/>
    </row>
    <row r="50" ht="15.0" customHeight="1">
      <c r="A50" s="71">
        <v>30.0</v>
      </c>
      <c r="B50" s="71" t="s">
        <v>180</v>
      </c>
      <c r="C50" s="71" t="s">
        <v>181</v>
      </c>
      <c r="D50" s="72">
        <v>4.0</v>
      </c>
      <c r="E50" s="73">
        <v>320000.0</v>
      </c>
      <c r="F50" s="77"/>
      <c r="G50" s="53"/>
      <c r="H50" s="53"/>
      <c r="I50" s="53"/>
      <c r="J50" s="53"/>
      <c r="K50" s="53"/>
      <c r="L50" s="53"/>
      <c r="M50" s="53"/>
      <c r="N50" s="53"/>
      <c r="O50" s="53"/>
      <c r="P50" s="53"/>
      <c r="Q50" s="53"/>
      <c r="R50" s="53"/>
      <c r="S50" s="53"/>
      <c r="T50" s="53"/>
      <c r="U50" s="53"/>
      <c r="V50" s="53"/>
      <c r="W50" s="53"/>
      <c r="X50" s="53"/>
      <c r="Y50" s="53"/>
      <c r="Z50" s="53"/>
    </row>
    <row r="51" ht="15.0" customHeight="1">
      <c r="A51" s="71">
        <v>31.0</v>
      </c>
      <c r="B51" s="71" t="s">
        <v>182</v>
      </c>
      <c r="C51" s="71" t="s">
        <v>183</v>
      </c>
      <c r="D51" s="72">
        <v>8.0</v>
      </c>
      <c r="E51" s="73">
        <v>640000.0</v>
      </c>
      <c r="F51" s="53"/>
      <c r="G51" s="53"/>
      <c r="H51" s="53"/>
      <c r="I51" s="53"/>
      <c r="J51" s="53"/>
      <c r="K51" s="53"/>
      <c r="L51" s="53"/>
      <c r="M51" s="53"/>
      <c r="N51" s="53"/>
      <c r="O51" s="53"/>
      <c r="P51" s="53"/>
      <c r="Q51" s="53"/>
      <c r="R51" s="53"/>
      <c r="S51" s="53"/>
      <c r="T51" s="53"/>
      <c r="U51" s="53"/>
      <c r="V51" s="53"/>
      <c r="W51" s="53"/>
      <c r="X51" s="53"/>
      <c r="Y51" s="53"/>
      <c r="Z51" s="53"/>
    </row>
    <row r="52" ht="21.0" customHeight="1">
      <c r="A52" s="78" t="s">
        <v>184</v>
      </c>
      <c r="C52" s="79"/>
      <c r="D52" s="78" t="s">
        <v>185</v>
      </c>
      <c r="E52" s="78" t="s">
        <v>186</v>
      </c>
      <c r="F52" s="80"/>
      <c r="G52" s="80"/>
      <c r="H52" s="80"/>
      <c r="I52" s="80"/>
      <c r="J52" s="80"/>
      <c r="K52" s="80"/>
      <c r="L52" s="80"/>
      <c r="M52" s="80"/>
      <c r="N52" s="80"/>
      <c r="O52" s="80"/>
      <c r="P52" s="80"/>
      <c r="Q52" s="80"/>
      <c r="R52" s="80"/>
      <c r="S52" s="80"/>
      <c r="T52" s="80"/>
      <c r="U52" s="80"/>
      <c r="V52" s="80"/>
      <c r="W52" s="80"/>
      <c r="X52" s="80"/>
      <c r="Y52" s="80"/>
      <c r="Z52" s="80"/>
    </row>
    <row r="53" ht="13.5" customHeight="1">
      <c r="A53" s="53"/>
      <c r="B53" s="72"/>
      <c r="C53" s="72"/>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sheetData>
  <mergeCells count="5">
    <mergeCell ref="A1:E1"/>
    <mergeCell ref="A2:B2"/>
    <mergeCell ref="A8:E8"/>
    <mergeCell ref="B11:C11"/>
    <mergeCell ref="A52:B52"/>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40.5"/>
    <col customWidth="1" hidden="1" min="3" max="3" width="15.0"/>
    <col customWidth="1" min="4" max="4" width="9.88"/>
    <col customWidth="1" min="5" max="5" width="9.13"/>
    <col customWidth="1" min="6" max="6" width="11.63"/>
    <col customWidth="1" min="7" max="7" width="13.63"/>
    <col customWidth="1" min="8" max="8" width="10.25"/>
    <col customWidth="1" min="9" max="9" width="7.63"/>
    <col customWidth="1" hidden="1" min="10" max="10" width="11.13"/>
    <col customWidth="1" hidden="1" min="11" max="11" width="10.63"/>
    <col customWidth="1" hidden="1" min="12" max="12" width="8.13"/>
    <col customWidth="1" min="13" max="67" width="3.88"/>
    <col customWidth="1" min="68" max="80" width="9.0"/>
  </cols>
  <sheetData>
    <row r="1" ht="13.5" customHeight="1">
      <c r="A1" s="81" t="s">
        <v>187</v>
      </c>
      <c r="B1" s="82"/>
      <c r="C1" s="82"/>
      <c r="D1" s="82"/>
      <c r="E1" s="82"/>
      <c r="F1" s="83"/>
      <c r="G1" s="84"/>
      <c r="H1" s="83"/>
      <c r="I1" s="83"/>
      <c r="J1" s="85"/>
      <c r="K1" s="83"/>
      <c r="L1" s="83"/>
      <c r="M1" s="86"/>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7" t="s">
        <v>188</v>
      </c>
      <c r="BJ1" s="83"/>
      <c r="BK1" s="83"/>
      <c r="BL1" s="83"/>
      <c r="BM1" s="83"/>
      <c r="BN1" s="83"/>
      <c r="BO1" s="83"/>
    </row>
    <row r="2" ht="13.5" customHeight="1">
      <c r="A2" s="83" t="s">
        <v>189</v>
      </c>
      <c r="B2" s="83"/>
      <c r="C2" s="83"/>
      <c r="D2" s="83"/>
      <c r="E2" s="83"/>
      <c r="F2" s="83"/>
      <c r="G2" s="85"/>
      <c r="H2" s="83"/>
      <c r="I2" s="83"/>
      <c r="J2" s="85"/>
      <c r="K2" s="83"/>
      <c r="L2" s="83"/>
      <c r="M2" s="88"/>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row>
    <row r="3" ht="13.5" customHeight="1">
      <c r="A3" s="83" t="s">
        <v>190</v>
      </c>
      <c r="B3" s="83"/>
      <c r="C3" s="83"/>
      <c r="D3" s="83"/>
      <c r="E3" s="83"/>
      <c r="F3" s="89" t="s">
        <v>191</v>
      </c>
      <c r="G3" s="90">
        <v>45523.0</v>
      </c>
      <c r="H3" s="91"/>
      <c r="I3" s="83"/>
      <c r="J3" s="85"/>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row>
    <row r="4" ht="13.5" customHeight="1">
      <c r="A4" s="89"/>
      <c r="B4" s="83"/>
      <c r="C4" s="83"/>
      <c r="D4" s="83"/>
      <c r="E4" s="83"/>
      <c r="F4" s="89" t="s">
        <v>192</v>
      </c>
      <c r="G4" s="92" t="s">
        <v>193</v>
      </c>
      <c r="H4" s="83"/>
      <c r="I4" s="83"/>
      <c r="J4" s="85"/>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row>
    <row r="5" ht="13.5" customHeight="1">
      <c r="A5" s="89"/>
      <c r="B5" s="83"/>
      <c r="C5" s="83"/>
      <c r="D5" s="83"/>
      <c r="E5" s="83"/>
      <c r="F5" s="89" t="s">
        <v>194</v>
      </c>
      <c r="G5" s="93">
        <v>21.0</v>
      </c>
      <c r="H5" s="83"/>
      <c r="I5" s="83"/>
      <c r="J5" s="85"/>
      <c r="K5" s="83"/>
      <c r="L5" s="83"/>
      <c r="M5" s="94">
        <f>IF(G4="Weekly",G3+7*(G5-1),IF(G4="Daily",G3+(G5-1),IF(G4="Monthly",EDATE($G$3,($G$5-1)),EDATE($G$3,3*($G$5-1)))))</f>
        <v>45663</v>
      </c>
      <c r="N5" s="94">
        <f t="shared" ref="N5:BO5" si="1">IF($G$4="Daily",M5+1,IF($G$4="Weekly",M5+7,IF($G$4="Monthly",EDATE($G$3,N7-1),EDATE($G$3,3*(N7-1)))))</f>
        <v>45670</v>
      </c>
      <c r="O5" s="94">
        <f t="shared" si="1"/>
        <v>45677</v>
      </c>
      <c r="P5" s="94">
        <f t="shared" si="1"/>
        <v>45684</v>
      </c>
      <c r="Q5" s="94">
        <f t="shared" si="1"/>
        <v>45691</v>
      </c>
      <c r="R5" s="94">
        <f t="shared" si="1"/>
        <v>45698</v>
      </c>
      <c r="S5" s="94">
        <f t="shared" si="1"/>
        <v>45705</v>
      </c>
      <c r="T5" s="94">
        <f t="shared" si="1"/>
        <v>45712</v>
      </c>
      <c r="U5" s="94">
        <f t="shared" si="1"/>
        <v>45719</v>
      </c>
      <c r="V5" s="94">
        <f t="shared" si="1"/>
        <v>45726</v>
      </c>
      <c r="W5" s="94">
        <f t="shared" si="1"/>
        <v>45733</v>
      </c>
      <c r="X5" s="94">
        <f t="shared" si="1"/>
        <v>45740</v>
      </c>
      <c r="Y5" s="94">
        <f t="shared" si="1"/>
        <v>45747</v>
      </c>
      <c r="Z5" s="94">
        <f t="shared" si="1"/>
        <v>45754</v>
      </c>
      <c r="AA5" s="94">
        <f t="shared" si="1"/>
        <v>45761</v>
      </c>
      <c r="AB5" s="94">
        <f t="shared" si="1"/>
        <v>45768</v>
      </c>
      <c r="AC5" s="94">
        <f t="shared" si="1"/>
        <v>45775</v>
      </c>
      <c r="AD5" s="94">
        <f t="shared" si="1"/>
        <v>45782</v>
      </c>
      <c r="AE5" s="94">
        <f t="shared" si="1"/>
        <v>45789</v>
      </c>
      <c r="AF5" s="94">
        <f t="shared" si="1"/>
        <v>45796</v>
      </c>
      <c r="AG5" s="94">
        <f t="shared" si="1"/>
        <v>45803</v>
      </c>
      <c r="AH5" s="94">
        <f t="shared" si="1"/>
        <v>45810</v>
      </c>
      <c r="AI5" s="94">
        <f t="shared" si="1"/>
        <v>45817</v>
      </c>
      <c r="AJ5" s="94">
        <f t="shared" si="1"/>
        <v>45824</v>
      </c>
      <c r="AK5" s="94">
        <f t="shared" si="1"/>
        <v>45831</v>
      </c>
      <c r="AL5" s="94">
        <f t="shared" si="1"/>
        <v>45838</v>
      </c>
      <c r="AM5" s="94">
        <f t="shared" si="1"/>
        <v>45845</v>
      </c>
      <c r="AN5" s="94">
        <f t="shared" si="1"/>
        <v>45852</v>
      </c>
      <c r="AO5" s="94">
        <f t="shared" si="1"/>
        <v>45859</v>
      </c>
      <c r="AP5" s="94">
        <f t="shared" si="1"/>
        <v>45866</v>
      </c>
      <c r="AQ5" s="94">
        <f t="shared" si="1"/>
        <v>45873</v>
      </c>
      <c r="AR5" s="94">
        <f t="shared" si="1"/>
        <v>45880</v>
      </c>
      <c r="AS5" s="94">
        <f t="shared" si="1"/>
        <v>45887</v>
      </c>
      <c r="AT5" s="94">
        <f t="shared" si="1"/>
        <v>45894</v>
      </c>
      <c r="AU5" s="94">
        <f t="shared" si="1"/>
        <v>45901</v>
      </c>
      <c r="AV5" s="94">
        <f t="shared" si="1"/>
        <v>45908</v>
      </c>
      <c r="AW5" s="94">
        <f t="shared" si="1"/>
        <v>45915</v>
      </c>
      <c r="AX5" s="94">
        <f t="shared" si="1"/>
        <v>45922</v>
      </c>
      <c r="AY5" s="94">
        <f t="shared" si="1"/>
        <v>45929</v>
      </c>
      <c r="AZ5" s="94">
        <f t="shared" si="1"/>
        <v>45936</v>
      </c>
      <c r="BA5" s="94">
        <f t="shared" si="1"/>
        <v>45943</v>
      </c>
      <c r="BB5" s="94">
        <f t="shared" si="1"/>
        <v>45950</v>
      </c>
      <c r="BC5" s="94">
        <f t="shared" si="1"/>
        <v>45957</v>
      </c>
      <c r="BD5" s="94">
        <f t="shared" si="1"/>
        <v>45964</v>
      </c>
      <c r="BE5" s="94">
        <f t="shared" si="1"/>
        <v>45971</v>
      </c>
      <c r="BF5" s="94">
        <f t="shared" si="1"/>
        <v>45978</v>
      </c>
      <c r="BG5" s="94">
        <f t="shared" si="1"/>
        <v>45985</v>
      </c>
      <c r="BH5" s="94">
        <f t="shared" si="1"/>
        <v>45992</v>
      </c>
      <c r="BI5" s="94">
        <f t="shared" si="1"/>
        <v>45999</v>
      </c>
      <c r="BJ5" s="94">
        <f t="shared" si="1"/>
        <v>46006</v>
      </c>
      <c r="BK5" s="94">
        <f t="shared" si="1"/>
        <v>46013</v>
      </c>
      <c r="BL5" s="94">
        <f t="shared" si="1"/>
        <v>46020</v>
      </c>
      <c r="BM5" s="94">
        <f t="shared" si="1"/>
        <v>46027</v>
      </c>
      <c r="BN5" s="94">
        <f t="shared" si="1"/>
        <v>46034</v>
      </c>
      <c r="BO5" s="94">
        <f t="shared" si="1"/>
        <v>46041</v>
      </c>
    </row>
    <row r="6" ht="45.0" customHeight="1">
      <c r="A6" s="83"/>
      <c r="J6" s="85"/>
      <c r="K6" s="83"/>
      <c r="L6" s="83"/>
      <c r="M6" s="95" t="str">
        <f t="shared" ref="M6:BO6" si="2">DAY(M5)&amp;CHAR(10)&amp;LEFT(TEXT(M5,"mmm"),3)&amp;CHAR(10)&amp;"'"&amp;RIGHT(YEAR(M5),2)</f>
        <v>6
thg
'25</v>
      </c>
      <c r="N6" s="95" t="str">
        <f t="shared" si="2"/>
        <v>13
thg
'25</v>
      </c>
      <c r="O6" s="95" t="str">
        <f t="shared" si="2"/>
        <v>20
thg
'25</v>
      </c>
      <c r="P6" s="95" t="str">
        <f t="shared" si="2"/>
        <v>27
thg
'25</v>
      </c>
      <c r="Q6" s="95" t="str">
        <f t="shared" si="2"/>
        <v>3
thg
'25</v>
      </c>
      <c r="R6" s="95" t="str">
        <f t="shared" si="2"/>
        <v>10
thg
'25</v>
      </c>
      <c r="S6" s="95" t="str">
        <f t="shared" si="2"/>
        <v>17
thg
'25</v>
      </c>
      <c r="T6" s="95" t="str">
        <f t="shared" si="2"/>
        <v>24
thg
'25</v>
      </c>
      <c r="U6" s="95" t="str">
        <f t="shared" si="2"/>
        <v>3
thg
'25</v>
      </c>
      <c r="V6" s="95" t="str">
        <f t="shared" si="2"/>
        <v>10
thg
'25</v>
      </c>
      <c r="W6" s="95" t="str">
        <f t="shared" si="2"/>
        <v>17
thg
'25</v>
      </c>
      <c r="X6" s="95" t="str">
        <f t="shared" si="2"/>
        <v>24
thg
'25</v>
      </c>
      <c r="Y6" s="95" t="str">
        <f t="shared" si="2"/>
        <v>31
thg
'25</v>
      </c>
      <c r="Z6" s="95" t="str">
        <f t="shared" si="2"/>
        <v>7
thg
'25</v>
      </c>
      <c r="AA6" s="95" t="str">
        <f t="shared" si="2"/>
        <v>14
thg
'25</v>
      </c>
      <c r="AB6" s="95" t="str">
        <f t="shared" si="2"/>
        <v>21
thg
'25</v>
      </c>
      <c r="AC6" s="95" t="str">
        <f t="shared" si="2"/>
        <v>28
thg
'25</v>
      </c>
      <c r="AD6" s="95" t="str">
        <f t="shared" si="2"/>
        <v>5
thg
'25</v>
      </c>
      <c r="AE6" s="95" t="str">
        <f t="shared" si="2"/>
        <v>12
thg
'25</v>
      </c>
      <c r="AF6" s="95" t="str">
        <f t="shared" si="2"/>
        <v>19
thg
'25</v>
      </c>
      <c r="AG6" s="95" t="str">
        <f t="shared" si="2"/>
        <v>26
thg
'25</v>
      </c>
      <c r="AH6" s="95" t="str">
        <f t="shared" si="2"/>
        <v>2
thg
'25</v>
      </c>
      <c r="AI6" s="95" t="str">
        <f t="shared" si="2"/>
        <v>9
thg
'25</v>
      </c>
      <c r="AJ6" s="95" t="str">
        <f t="shared" si="2"/>
        <v>16
thg
'25</v>
      </c>
      <c r="AK6" s="95" t="str">
        <f t="shared" si="2"/>
        <v>23
thg
'25</v>
      </c>
      <c r="AL6" s="95" t="str">
        <f t="shared" si="2"/>
        <v>30
thg
'25</v>
      </c>
      <c r="AM6" s="95" t="str">
        <f t="shared" si="2"/>
        <v>7
thg
'25</v>
      </c>
      <c r="AN6" s="95" t="str">
        <f t="shared" si="2"/>
        <v>14
thg
'25</v>
      </c>
      <c r="AO6" s="95" t="str">
        <f t="shared" si="2"/>
        <v>21
thg
'25</v>
      </c>
      <c r="AP6" s="95" t="str">
        <f t="shared" si="2"/>
        <v>28
thg
'25</v>
      </c>
      <c r="AQ6" s="95" t="str">
        <f t="shared" si="2"/>
        <v>4
thg
'25</v>
      </c>
      <c r="AR6" s="95" t="str">
        <f t="shared" si="2"/>
        <v>11
thg
'25</v>
      </c>
      <c r="AS6" s="95" t="str">
        <f t="shared" si="2"/>
        <v>18
thg
'25</v>
      </c>
      <c r="AT6" s="95" t="str">
        <f t="shared" si="2"/>
        <v>25
thg
'25</v>
      </c>
      <c r="AU6" s="95" t="str">
        <f t="shared" si="2"/>
        <v>1
thg
'25</v>
      </c>
      <c r="AV6" s="95" t="str">
        <f t="shared" si="2"/>
        <v>8
thg
'25</v>
      </c>
      <c r="AW6" s="95" t="str">
        <f t="shared" si="2"/>
        <v>15
thg
'25</v>
      </c>
      <c r="AX6" s="95" t="str">
        <f t="shared" si="2"/>
        <v>22
thg
'25</v>
      </c>
      <c r="AY6" s="95" t="str">
        <f t="shared" si="2"/>
        <v>29
thg
'25</v>
      </c>
      <c r="AZ6" s="95" t="str">
        <f t="shared" si="2"/>
        <v>6
thg
'25</v>
      </c>
      <c r="BA6" s="95" t="str">
        <f t="shared" si="2"/>
        <v>13
thg
'25</v>
      </c>
      <c r="BB6" s="95" t="str">
        <f t="shared" si="2"/>
        <v>20
thg
'25</v>
      </c>
      <c r="BC6" s="95" t="str">
        <f t="shared" si="2"/>
        <v>27
thg
'25</v>
      </c>
      <c r="BD6" s="95" t="str">
        <f t="shared" si="2"/>
        <v>3
thg
'25</v>
      </c>
      <c r="BE6" s="95" t="str">
        <f t="shared" si="2"/>
        <v>10
thg
'25</v>
      </c>
      <c r="BF6" s="95" t="str">
        <f t="shared" si="2"/>
        <v>17
thg
'25</v>
      </c>
      <c r="BG6" s="95" t="str">
        <f t="shared" si="2"/>
        <v>24
thg
'25</v>
      </c>
      <c r="BH6" s="95" t="str">
        <f t="shared" si="2"/>
        <v>1
thg
'25</v>
      </c>
      <c r="BI6" s="95" t="str">
        <f t="shared" si="2"/>
        <v>8
thg
'25</v>
      </c>
      <c r="BJ6" s="95" t="str">
        <f t="shared" si="2"/>
        <v>15
thg
'25</v>
      </c>
      <c r="BK6" s="95" t="str">
        <f t="shared" si="2"/>
        <v>22
thg
'25</v>
      </c>
      <c r="BL6" s="95" t="str">
        <f t="shared" si="2"/>
        <v>29
thg
'25</v>
      </c>
      <c r="BM6" s="95" t="str">
        <f t="shared" si="2"/>
        <v>5
thg
'26</v>
      </c>
      <c r="BN6" s="95" t="str">
        <f t="shared" si="2"/>
        <v>12
thg
'26</v>
      </c>
      <c r="BO6" s="95" t="str">
        <f t="shared" si="2"/>
        <v>19
thg
'26</v>
      </c>
    </row>
    <row r="7" ht="13.5" customHeight="1">
      <c r="A7" s="96" t="s">
        <v>195</v>
      </c>
      <c r="B7" s="97" t="s">
        <v>196</v>
      </c>
      <c r="C7" s="97" t="s">
        <v>197</v>
      </c>
      <c r="D7" s="98" t="s">
        <v>198</v>
      </c>
      <c r="E7" s="98" t="s">
        <v>199</v>
      </c>
      <c r="F7" s="98" t="s">
        <v>200</v>
      </c>
      <c r="G7" s="98" t="s">
        <v>201</v>
      </c>
      <c r="H7" s="98" t="s">
        <v>202</v>
      </c>
      <c r="I7" s="98" t="s">
        <v>203</v>
      </c>
      <c r="J7" s="98" t="s">
        <v>204</v>
      </c>
      <c r="K7" s="98" t="s">
        <v>205</v>
      </c>
      <c r="L7" s="98" t="s">
        <v>206</v>
      </c>
      <c r="M7" s="99">
        <f>G5</f>
        <v>21</v>
      </c>
      <c r="N7" s="99">
        <f t="shared" ref="N7:BO7" si="3">M7+1</f>
        <v>22</v>
      </c>
      <c r="O7" s="99">
        <f t="shared" si="3"/>
        <v>23</v>
      </c>
      <c r="P7" s="99">
        <f t="shared" si="3"/>
        <v>24</v>
      </c>
      <c r="Q7" s="99">
        <f t="shared" si="3"/>
        <v>25</v>
      </c>
      <c r="R7" s="99">
        <f t="shared" si="3"/>
        <v>26</v>
      </c>
      <c r="S7" s="99">
        <f t="shared" si="3"/>
        <v>27</v>
      </c>
      <c r="T7" s="99">
        <f t="shared" si="3"/>
        <v>28</v>
      </c>
      <c r="U7" s="99">
        <f t="shared" si="3"/>
        <v>29</v>
      </c>
      <c r="V7" s="99">
        <f t="shared" si="3"/>
        <v>30</v>
      </c>
      <c r="W7" s="99">
        <f t="shared" si="3"/>
        <v>31</v>
      </c>
      <c r="X7" s="99">
        <f t="shared" si="3"/>
        <v>32</v>
      </c>
      <c r="Y7" s="99">
        <f t="shared" si="3"/>
        <v>33</v>
      </c>
      <c r="Z7" s="99">
        <f t="shared" si="3"/>
        <v>34</v>
      </c>
      <c r="AA7" s="99">
        <f t="shared" si="3"/>
        <v>35</v>
      </c>
      <c r="AB7" s="99">
        <f t="shared" si="3"/>
        <v>36</v>
      </c>
      <c r="AC7" s="99">
        <f t="shared" si="3"/>
        <v>37</v>
      </c>
      <c r="AD7" s="99">
        <f t="shared" si="3"/>
        <v>38</v>
      </c>
      <c r="AE7" s="99">
        <f t="shared" si="3"/>
        <v>39</v>
      </c>
      <c r="AF7" s="99">
        <f t="shared" si="3"/>
        <v>40</v>
      </c>
      <c r="AG7" s="99">
        <f t="shared" si="3"/>
        <v>41</v>
      </c>
      <c r="AH7" s="99">
        <f t="shared" si="3"/>
        <v>42</v>
      </c>
      <c r="AI7" s="99">
        <f t="shared" si="3"/>
        <v>43</v>
      </c>
      <c r="AJ7" s="99">
        <f t="shared" si="3"/>
        <v>44</v>
      </c>
      <c r="AK7" s="99">
        <f t="shared" si="3"/>
        <v>45</v>
      </c>
      <c r="AL7" s="99">
        <f t="shared" si="3"/>
        <v>46</v>
      </c>
      <c r="AM7" s="99">
        <f t="shared" si="3"/>
        <v>47</v>
      </c>
      <c r="AN7" s="99">
        <f t="shared" si="3"/>
        <v>48</v>
      </c>
      <c r="AO7" s="99">
        <f t="shared" si="3"/>
        <v>49</v>
      </c>
      <c r="AP7" s="99">
        <f t="shared" si="3"/>
        <v>50</v>
      </c>
      <c r="AQ7" s="99">
        <f t="shared" si="3"/>
        <v>51</v>
      </c>
      <c r="AR7" s="99">
        <f t="shared" si="3"/>
        <v>52</v>
      </c>
      <c r="AS7" s="99">
        <f t="shared" si="3"/>
        <v>53</v>
      </c>
      <c r="AT7" s="99">
        <f t="shared" si="3"/>
        <v>54</v>
      </c>
      <c r="AU7" s="99">
        <f t="shared" si="3"/>
        <v>55</v>
      </c>
      <c r="AV7" s="99">
        <f t="shared" si="3"/>
        <v>56</v>
      </c>
      <c r="AW7" s="99">
        <f t="shared" si="3"/>
        <v>57</v>
      </c>
      <c r="AX7" s="99">
        <f t="shared" si="3"/>
        <v>58</v>
      </c>
      <c r="AY7" s="99">
        <f t="shared" si="3"/>
        <v>59</v>
      </c>
      <c r="AZ7" s="99">
        <f t="shared" si="3"/>
        <v>60</v>
      </c>
      <c r="BA7" s="99">
        <f t="shared" si="3"/>
        <v>61</v>
      </c>
      <c r="BB7" s="99">
        <f t="shared" si="3"/>
        <v>62</v>
      </c>
      <c r="BC7" s="99">
        <f t="shared" si="3"/>
        <v>63</v>
      </c>
      <c r="BD7" s="99">
        <f t="shared" si="3"/>
        <v>64</v>
      </c>
      <c r="BE7" s="99">
        <f t="shared" si="3"/>
        <v>65</v>
      </c>
      <c r="BF7" s="99">
        <f t="shared" si="3"/>
        <v>66</v>
      </c>
      <c r="BG7" s="99">
        <f t="shared" si="3"/>
        <v>67</v>
      </c>
      <c r="BH7" s="99">
        <f t="shared" si="3"/>
        <v>68</v>
      </c>
      <c r="BI7" s="99">
        <f t="shared" si="3"/>
        <v>69</v>
      </c>
      <c r="BJ7" s="99">
        <f t="shared" si="3"/>
        <v>70</v>
      </c>
      <c r="BK7" s="99">
        <f t="shared" si="3"/>
        <v>71</v>
      </c>
      <c r="BL7" s="99">
        <f t="shared" si="3"/>
        <v>72</v>
      </c>
      <c r="BM7" s="99">
        <f t="shared" si="3"/>
        <v>73</v>
      </c>
      <c r="BN7" s="99">
        <f t="shared" si="3"/>
        <v>74</v>
      </c>
      <c r="BO7" s="99">
        <f t="shared" si="3"/>
        <v>75</v>
      </c>
    </row>
    <row r="8" ht="13.5" customHeight="1">
      <c r="A8" s="100"/>
      <c r="B8" s="101"/>
      <c r="C8" s="101"/>
      <c r="D8" s="100"/>
      <c r="E8" s="100"/>
      <c r="F8" s="102"/>
      <c r="G8" s="103"/>
      <c r="H8" s="103"/>
      <c r="I8" s="100" t="str">
        <f>IF(OR(ISBLANK(G8),ISBLANK(H8)),"",H8-G8+1)</f>
        <v/>
      </c>
      <c r="J8" s="103"/>
      <c r="K8" s="103"/>
      <c r="L8" s="100" t="str">
        <f t="shared" ref="L8:L10" si="4">IF(OR(ISBLANK(J8),ISBLANK(K8)),"",K8-J8+1)</f>
        <v/>
      </c>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5"/>
      <c r="BP8" s="106"/>
      <c r="BQ8" s="106"/>
      <c r="BR8" s="106"/>
      <c r="BS8" s="106"/>
      <c r="BT8" s="106"/>
      <c r="BU8" s="106"/>
      <c r="BV8" s="106"/>
      <c r="BW8" s="106"/>
      <c r="BX8" s="106"/>
      <c r="BY8" s="106"/>
      <c r="BZ8" s="106"/>
      <c r="CA8" s="106"/>
      <c r="CB8" s="106"/>
    </row>
    <row r="9" ht="15.0" customHeight="1">
      <c r="A9" s="107" t="s">
        <v>103</v>
      </c>
      <c r="B9" s="107" t="s">
        <v>207</v>
      </c>
      <c r="C9" s="107" t="s">
        <v>208</v>
      </c>
      <c r="D9" s="107" t="s">
        <v>209</v>
      </c>
      <c r="E9" s="107" t="s">
        <v>210</v>
      </c>
      <c r="F9" s="108">
        <v>1.0</v>
      </c>
      <c r="G9" s="109">
        <v>46210.0</v>
      </c>
      <c r="H9" s="109">
        <v>46211.0</v>
      </c>
      <c r="I9" s="110">
        <v>2.0</v>
      </c>
      <c r="J9" s="111">
        <v>43282.0</v>
      </c>
      <c r="K9" s="111">
        <v>43296.0</v>
      </c>
      <c r="L9" s="112">
        <f t="shared" si="4"/>
        <v>15</v>
      </c>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4"/>
      <c r="BP9" s="115"/>
      <c r="BQ9" s="115"/>
      <c r="BR9" s="115"/>
      <c r="BS9" s="115"/>
      <c r="BT9" s="115"/>
      <c r="BU9" s="115"/>
      <c r="BV9" s="115"/>
      <c r="BW9" s="115"/>
      <c r="BX9" s="115"/>
      <c r="BY9" s="115"/>
      <c r="BZ9" s="115"/>
      <c r="CA9" s="115"/>
      <c r="CB9" s="115"/>
    </row>
    <row r="10" ht="15.0" customHeight="1">
      <c r="A10" s="116">
        <v>1.0</v>
      </c>
      <c r="B10" s="116" t="s">
        <v>211</v>
      </c>
      <c r="C10" s="116" t="s">
        <v>212</v>
      </c>
      <c r="D10" s="116" t="s">
        <v>209</v>
      </c>
      <c r="E10" s="116" t="s">
        <v>210</v>
      </c>
      <c r="F10" s="117">
        <v>1.0</v>
      </c>
      <c r="G10" s="118">
        <v>46210.0</v>
      </c>
      <c r="H10" s="118">
        <v>46211.0</v>
      </c>
      <c r="I10" s="119">
        <v>2.0</v>
      </c>
      <c r="J10" s="111">
        <v>43296.0</v>
      </c>
      <c r="K10" s="111">
        <v>43327.0</v>
      </c>
      <c r="L10" s="112">
        <f t="shared" si="4"/>
        <v>32</v>
      </c>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4"/>
      <c r="BP10" s="115"/>
      <c r="BQ10" s="115"/>
      <c r="BR10" s="115"/>
      <c r="BS10" s="115"/>
      <c r="BT10" s="115"/>
      <c r="BU10" s="115"/>
      <c r="BV10" s="115"/>
      <c r="BW10" s="115"/>
      <c r="BX10" s="115"/>
      <c r="BY10" s="115"/>
      <c r="BZ10" s="115"/>
      <c r="CA10" s="115"/>
      <c r="CB10" s="115"/>
    </row>
    <row r="11" ht="15.0" customHeight="1">
      <c r="A11" s="116">
        <v>2.0</v>
      </c>
      <c r="B11" s="116" t="s">
        <v>213</v>
      </c>
      <c r="C11" s="116" t="s">
        <v>214</v>
      </c>
      <c r="D11" s="116" t="s">
        <v>209</v>
      </c>
      <c r="E11" s="116" t="s">
        <v>210</v>
      </c>
      <c r="F11" s="117">
        <v>1.0</v>
      </c>
      <c r="G11" s="120">
        <v>46210.0</v>
      </c>
      <c r="H11" s="118">
        <v>46211.0</v>
      </c>
      <c r="I11" s="119">
        <v>2.0</v>
      </c>
      <c r="J11" s="111">
        <v>43337.0</v>
      </c>
      <c r="K11" s="111">
        <v>43344.0</v>
      </c>
      <c r="L11" s="112"/>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4"/>
      <c r="BP11" s="115"/>
      <c r="BQ11" s="115"/>
      <c r="BR11" s="115"/>
      <c r="BS11" s="115"/>
      <c r="BT11" s="115"/>
      <c r="BU11" s="115"/>
      <c r="BV11" s="115"/>
      <c r="BW11" s="115"/>
      <c r="BX11" s="115"/>
      <c r="BY11" s="115"/>
      <c r="BZ11" s="115"/>
      <c r="CA11" s="115"/>
      <c r="CB11" s="115"/>
    </row>
    <row r="12" ht="15.0" customHeight="1">
      <c r="A12" s="121" t="s">
        <v>121</v>
      </c>
      <c r="B12" s="121" t="s">
        <v>215</v>
      </c>
      <c r="C12" s="121" t="s">
        <v>216</v>
      </c>
      <c r="D12" s="121" t="s">
        <v>209</v>
      </c>
      <c r="E12" s="121" t="s">
        <v>210</v>
      </c>
      <c r="F12" s="122">
        <v>1.0</v>
      </c>
      <c r="G12" s="123">
        <v>46211.0</v>
      </c>
      <c r="H12" s="123">
        <v>46214.0</v>
      </c>
      <c r="I12" s="124">
        <v>4.0</v>
      </c>
      <c r="J12" s="111">
        <v>43327.0</v>
      </c>
      <c r="K12" s="111">
        <v>43374.0</v>
      </c>
      <c r="L12" s="112">
        <f t="shared" ref="L12:L13" si="5">IF(OR(ISBLANK(J12),ISBLANK(K12)),"",K12-J12+1)</f>
        <v>48</v>
      </c>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25"/>
      <c r="BD12" s="125"/>
      <c r="BE12" s="125"/>
      <c r="BF12" s="125"/>
      <c r="BG12" s="125"/>
      <c r="BH12" s="125"/>
      <c r="BI12" s="125"/>
      <c r="BJ12" s="125"/>
      <c r="BK12" s="125"/>
      <c r="BL12" s="125"/>
      <c r="BM12" s="125"/>
      <c r="BN12" s="125"/>
      <c r="BO12" s="125"/>
      <c r="BP12" s="126"/>
      <c r="BQ12" s="126"/>
      <c r="BR12" s="126"/>
      <c r="BS12" s="126"/>
      <c r="BT12" s="126"/>
      <c r="BU12" s="126"/>
      <c r="BV12" s="126"/>
      <c r="BW12" s="126"/>
      <c r="BX12" s="126"/>
      <c r="BY12" s="126"/>
      <c r="BZ12" s="126"/>
      <c r="CA12" s="126"/>
      <c r="CB12" s="126"/>
    </row>
    <row r="13" ht="15.0" customHeight="1">
      <c r="A13" s="116">
        <v>1.0</v>
      </c>
      <c r="B13" s="116" t="s">
        <v>217</v>
      </c>
      <c r="C13" s="116" t="s">
        <v>218</v>
      </c>
      <c r="D13" s="116" t="s">
        <v>209</v>
      </c>
      <c r="E13" s="116" t="s">
        <v>210</v>
      </c>
      <c r="F13" s="117">
        <v>1.0</v>
      </c>
      <c r="G13" s="118">
        <v>46211.0</v>
      </c>
      <c r="H13" s="118">
        <v>46212.0</v>
      </c>
      <c r="I13" s="119">
        <v>2.0</v>
      </c>
      <c r="J13" s="111"/>
      <c r="K13" s="111"/>
      <c r="L13" s="112" t="str">
        <f t="shared" si="5"/>
        <v/>
      </c>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27"/>
      <c r="BD13" s="127"/>
      <c r="BE13" s="127"/>
      <c r="BF13" s="127"/>
      <c r="BG13" s="113"/>
      <c r="BH13" s="113"/>
      <c r="BI13" s="113"/>
      <c r="BJ13" s="113"/>
      <c r="BK13" s="113"/>
      <c r="BL13" s="113"/>
      <c r="BM13" s="113"/>
      <c r="BN13" s="113"/>
      <c r="BO13" s="114"/>
      <c r="BP13" s="115"/>
      <c r="BQ13" s="115"/>
      <c r="BR13" s="115"/>
      <c r="BS13" s="115"/>
      <c r="BT13" s="115"/>
      <c r="BU13" s="115"/>
      <c r="BV13" s="115"/>
      <c r="BW13" s="115"/>
      <c r="BX13" s="115"/>
      <c r="BY13" s="115"/>
      <c r="BZ13" s="115"/>
      <c r="CA13" s="115"/>
      <c r="CB13" s="115"/>
    </row>
    <row r="14" ht="15.0" customHeight="1">
      <c r="A14" s="116">
        <v>2.0</v>
      </c>
      <c r="B14" s="116" t="s">
        <v>219</v>
      </c>
      <c r="C14" s="116" t="s">
        <v>220</v>
      </c>
      <c r="D14" s="116" t="s">
        <v>209</v>
      </c>
      <c r="E14" s="116" t="s">
        <v>210</v>
      </c>
      <c r="F14" s="117">
        <v>1.0</v>
      </c>
      <c r="G14" s="118">
        <v>46212.0</v>
      </c>
      <c r="H14" s="118">
        <v>46213.0</v>
      </c>
      <c r="I14" s="119">
        <v>2.0</v>
      </c>
      <c r="J14" s="128">
        <f>MIN(J15:J21)</f>
        <v>43286</v>
      </c>
      <c r="K14" s="128">
        <f>MAX(K15:K21)</f>
        <v>43373</v>
      </c>
      <c r="L14" s="129"/>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4"/>
      <c r="BP14" s="115"/>
      <c r="BQ14" s="115"/>
      <c r="BR14" s="115"/>
      <c r="BS14" s="115"/>
      <c r="BT14" s="115"/>
      <c r="BU14" s="115"/>
      <c r="BV14" s="115"/>
      <c r="BW14" s="115"/>
      <c r="BX14" s="115"/>
      <c r="BY14" s="115"/>
      <c r="BZ14" s="115"/>
      <c r="CA14" s="115"/>
      <c r="CB14" s="115"/>
    </row>
    <row r="15" ht="15.0" customHeight="1">
      <c r="A15" s="116">
        <v>3.0</v>
      </c>
      <c r="B15" s="116" t="s">
        <v>221</v>
      </c>
      <c r="C15" s="116" t="s">
        <v>222</v>
      </c>
      <c r="D15" s="116" t="s">
        <v>209</v>
      </c>
      <c r="E15" s="116" t="s">
        <v>210</v>
      </c>
      <c r="F15" s="117">
        <v>1.0</v>
      </c>
      <c r="G15" s="118">
        <v>46213.0</v>
      </c>
      <c r="H15" s="118">
        <v>46214.0</v>
      </c>
      <c r="I15" s="119">
        <v>2.0</v>
      </c>
      <c r="J15" s="111">
        <v>43344.0</v>
      </c>
      <c r="K15" s="111">
        <v>43373.0</v>
      </c>
      <c r="L15" s="112"/>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4"/>
      <c r="BP15" s="115"/>
      <c r="BQ15" s="115"/>
      <c r="BR15" s="115"/>
      <c r="BS15" s="115"/>
      <c r="BT15" s="115"/>
      <c r="BU15" s="115"/>
      <c r="BV15" s="115"/>
      <c r="BW15" s="115"/>
      <c r="BX15" s="115"/>
      <c r="BY15" s="115"/>
      <c r="BZ15" s="115"/>
      <c r="CA15" s="115"/>
      <c r="CB15" s="115"/>
    </row>
    <row r="16" ht="15.0" customHeight="1">
      <c r="A16" s="121" t="s">
        <v>223</v>
      </c>
      <c r="B16" s="121" t="s">
        <v>224</v>
      </c>
      <c r="C16" s="121" t="s">
        <v>225</v>
      </c>
      <c r="D16" s="121" t="s">
        <v>209</v>
      </c>
      <c r="E16" s="121" t="s">
        <v>210</v>
      </c>
      <c r="F16" s="122">
        <v>0.8</v>
      </c>
      <c r="G16" s="123">
        <v>46214.0</v>
      </c>
      <c r="H16" s="123">
        <v>46218.0</v>
      </c>
      <c r="I16" s="124">
        <v>5.0</v>
      </c>
      <c r="J16" s="111">
        <v>43344.0</v>
      </c>
      <c r="K16" s="111">
        <v>43373.0</v>
      </c>
      <c r="L16" s="112"/>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4"/>
      <c r="BP16" s="115"/>
      <c r="BQ16" s="115"/>
      <c r="BR16" s="115"/>
      <c r="BS16" s="115"/>
      <c r="BT16" s="115"/>
      <c r="BU16" s="115"/>
      <c r="BV16" s="115"/>
      <c r="BW16" s="115"/>
      <c r="BX16" s="115"/>
      <c r="BY16" s="115"/>
      <c r="BZ16" s="115"/>
      <c r="CA16" s="115"/>
      <c r="CB16" s="115"/>
    </row>
    <row r="17" ht="15.0" customHeight="1">
      <c r="A17" s="116">
        <v>1.0</v>
      </c>
      <c r="B17" s="116" t="s">
        <v>226</v>
      </c>
      <c r="C17" s="116" t="s">
        <v>227</v>
      </c>
      <c r="D17" s="116" t="s">
        <v>209</v>
      </c>
      <c r="E17" s="116" t="s">
        <v>210</v>
      </c>
      <c r="F17" s="117">
        <v>1.0</v>
      </c>
      <c r="G17" s="118">
        <v>46214.0</v>
      </c>
      <c r="H17" s="118">
        <v>46215.0</v>
      </c>
      <c r="I17" s="119">
        <v>2.0</v>
      </c>
      <c r="J17" s="111"/>
      <c r="K17" s="111"/>
      <c r="L17" s="112"/>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4"/>
      <c r="BP17" s="115"/>
      <c r="BQ17" s="115"/>
      <c r="BR17" s="115"/>
      <c r="BS17" s="115"/>
      <c r="BT17" s="115"/>
      <c r="BU17" s="115"/>
      <c r="BV17" s="115"/>
      <c r="BW17" s="115"/>
      <c r="BX17" s="115"/>
      <c r="BY17" s="115"/>
      <c r="BZ17" s="115"/>
      <c r="CA17" s="115"/>
      <c r="CB17" s="115"/>
    </row>
    <row r="18" ht="15.0" customHeight="1">
      <c r="A18" s="116">
        <v>2.0</v>
      </c>
      <c r="B18" s="116" t="s">
        <v>228</v>
      </c>
      <c r="C18" s="116" t="s">
        <v>229</v>
      </c>
      <c r="D18" s="116" t="s">
        <v>209</v>
      </c>
      <c r="E18" s="116" t="s">
        <v>210</v>
      </c>
      <c r="F18" s="117">
        <v>0.9</v>
      </c>
      <c r="G18" s="118">
        <v>46215.0</v>
      </c>
      <c r="H18" s="118">
        <v>46217.0</v>
      </c>
      <c r="I18" s="119">
        <v>3.0</v>
      </c>
      <c r="J18" s="111"/>
      <c r="K18" s="111"/>
      <c r="L18" s="112"/>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4"/>
      <c r="BP18" s="115"/>
      <c r="BQ18" s="115"/>
      <c r="BR18" s="115"/>
      <c r="BS18" s="115"/>
      <c r="BT18" s="115"/>
      <c r="BU18" s="115"/>
      <c r="BV18" s="115"/>
      <c r="BW18" s="115"/>
      <c r="BX18" s="115"/>
      <c r="BY18" s="115"/>
      <c r="BZ18" s="115"/>
      <c r="CA18" s="115"/>
      <c r="CB18" s="115"/>
    </row>
    <row r="19" ht="15.0" customHeight="1">
      <c r="A19" s="116">
        <v>3.0</v>
      </c>
      <c r="B19" s="116" t="s">
        <v>230</v>
      </c>
      <c r="C19" s="116" t="s">
        <v>231</v>
      </c>
      <c r="D19" s="116" t="s">
        <v>209</v>
      </c>
      <c r="E19" s="116" t="s">
        <v>210</v>
      </c>
      <c r="F19" s="117">
        <v>0.9</v>
      </c>
      <c r="G19" s="118">
        <v>46215.0</v>
      </c>
      <c r="H19" s="118">
        <v>46217.0</v>
      </c>
      <c r="I19" s="119">
        <v>3.0</v>
      </c>
      <c r="J19" s="111">
        <v>43344.0</v>
      </c>
      <c r="K19" s="111"/>
      <c r="L19" s="112"/>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25"/>
      <c r="BD19" s="125"/>
      <c r="BE19" s="125"/>
      <c r="BF19" s="125"/>
      <c r="BG19" s="125"/>
      <c r="BH19" s="125"/>
      <c r="BI19" s="125"/>
      <c r="BJ19" s="125"/>
      <c r="BK19" s="125"/>
      <c r="BL19" s="125"/>
      <c r="BM19" s="125"/>
      <c r="BN19" s="125"/>
      <c r="BO19" s="125"/>
      <c r="BP19" s="126"/>
      <c r="BQ19" s="126"/>
      <c r="BR19" s="126"/>
      <c r="BS19" s="126"/>
      <c r="BT19" s="126"/>
      <c r="BU19" s="126"/>
      <c r="BV19" s="126"/>
      <c r="BW19" s="126"/>
      <c r="BX19" s="126"/>
      <c r="BY19" s="126"/>
      <c r="BZ19" s="126"/>
      <c r="CA19" s="126"/>
      <c r="CB19" s="126"/>
    </row>
    <row r="20" ht="15.0" customHeight="1">
      <c r="A20" s="116">
        <v>4.0</v>
      </c>
      <c r="B20" s="116" t="s">
        <v>232</v>
      </c>
      <c r="C20" s="116" t="s">
        <v>233</v>
      </c>
      <c r="D20" s="116" t="s">
        <v>209</v>
      </c>
      <c r="E20" s="116" t="s">
        <v>210</v>
      </c>
      <c r="F20" s="117">
        <v>0.8</v>
      </c>
      <c r="G20" s="118">
        <v>46216.0</v>
      </c>
      <c r="H20" s="118">
        <v>46217.0</v>
      </c>
      <c r="I20" s="119">
        <v>2.0</v>
      </c>
      <c r="J20" s="130"/>
      <c r="K20" s="130"/>
      <c r="L20" s="129"/>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4"/>
      <c r="BP20" s="115"/>
      <c r="BQ20" s="115"/>
      <c r="BR20" s="115"/>
      <c r="BS20" s="115"/>
      <c r="BT20" s="115"/>
      <c r="BU20" s="115"/>
      <c r="BV20" s="115"/>
      <c r="BW20" s="115"/>
      <c r="BX20" s="115"/>
      <c r="BY20" s="115"/>
      <c r="BZ20" s="115"/>
      <c r="CA20" s="115"/>
      <c r="CB20" s="115"/>
    </row>
    <row r="21" ht="15.0" customHeight="1">
      <c r="A21" s="116">
        <v>5.0</v>
      </c>
      <c r="B21" s="116" t="s">
        <v>234</v>
      </c>
      <c r="C21" s="116" t="s">
        <v>235</v>
      </c>
      <c r="D21" s="116" t="s">
        <v>209</v>
      </c>
      <c r="E21" s="116" t="s">
        <v>210</v>
      </c>
      <c r="F21" s="117">
        <v>0.5</v>
      </c>
      <c r="G21" s="118">
        <v>46217.0</v>
      </c>
      <c r="H21" s="118">
        <v>46218.0</v>
      </c>
      <c r="I21" s="119">
        <v>2.0</v>
      </c>
      <c r="J21" s="111">
        <v>43286.0</v>
      </c>
      <c r="K21" s="111">
        <v>43290.0</v>
      </c>
      <c r="L21" s="112"/>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4"/>
      <c r="BP21" s="115"/>
      <c r="BQ21" s="115"/>
      <c r="BR21" s="115"/>
      <c r="BS21" s="115"/>
      <c r="BT21" s="115"/>
      <c r="BU21" s="115"/>
      <c r="BV21" s="115"/>
      <c r="BW21" s="115"/>
      <c r="BX21" s="115"/>
      <c r="BY21" s="115"/>
      <c r="BZ21" s="115"/>
      <c r="CA21" s="115"/>
      <c r="CB21" s="115"/>
    </row>
    <row r="22" ht="15.0" customHeight="1">
      <c r="A22" s="121" t="s">
        <v>236</v>
      </c>
      <c r="B22" s="121" t="s">
        <v>237</v>
      </c>
      <c r="C22" s="121" t="s">
        <v>238</v>
      </c>
      <c r="D22" s="121" t="s">
        <v>209</v>
      </c>
      <c r="E22" s="121" t="s">
        <v>210</v>
      </c>
      <c r="F22" s="122">
        <v>0.0</v>
      </c>
      <c r="G22" s="123">
        <v>46218.0</v>
      </c>
      <c r="H22" s="123">
        <v>46220.0</v>
      </c>
      <c r="I22" s="124">
        <v>3.0</v>
      </c>
      <c r="J22" s="111"/>
      <c r="K22" s="111"/>
      <c r="L22" s="112"/>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4"/>
      <c r="BP22" s="115"/>
      <c r="BQ22" s="115"/>
      <c r="BR22" s="115"/>
      <c r="BS22" s="115"/>
      <c r="BT22" s="115"/>
      <c r="BU22" s="115"/>
      <c r="BV22" s="115"/>
      <c r="BW22" s="115"/>
      <c r="BX22" s="115"/>
      <c r="BY22" s="115"/>
      <c r="BZ22" s="115"/>
      <c r="CA22" s="115"/>
      <c r="CB22" s="115"/>
    </row>
    <row r="23" ht="15.0" customHeight="1">
      <c r="A23" s="116">
        <v>1.0</v>
      </c>
      <c r="B23" s="116" t="s">
        <v>239</v>
      </c>
      <c r="C23" s="116" t="s">
        <v>240</v>
      </c>
      <c r="D23" s="116" t="s">
        <v>209</v>
      </c>
      <c r="E23" s="116" t="s">
        <v>210</v>
      </c>
      <c r="F23" s="117">
        <v>0.0</v>
      </c>
      <c r="G23" s="118">
        <v>46218.0</v>
      </c>
      <c r="H23" s="118">
        <v>46219.0</v>
      </c>
      <c r="I23" s="119">
        <v>2.0</v>
      </c>
      <c r="J23" s="111"/>
      <c r="K23" s="111"/>
      <c r="L23" s="112"/>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4"/>
      <c r="BP23" s="115"/>
      <c r="BQ23" s="115"/>
      <c r="BR23" s="115"/>
      <c r="BS23" s="115"/>
      <c r="BT23" s="115"/>
      <c r="BU23" s="115"/>
      <c r="BV23" s="115"/>
      <c r="BW23" s="115"/>
      <c r="BX23" s="115"/>
      <c r="BY23" s="115"/>
      <c r="BZ23" s="115"/>
      <c r="CA23" s="115"/>
      <c r="CB23" s="115"/>
    </row>
    <row r="24" ht="15.0" customHeight="1">
      <c r="A24" s="116">
        <v>2.0</v>
      </c>
      <c r="B24" s="116" t="s">
        <v>241</v>
      </c>
      <c r="C24" s="116" t="s">
        <v>242</v>
      </c>
      <c r="D24" s="116" t="s">
        <v>209</v>
      </c>
      <c r="E24" s="116" t="s">
        <v>210</v>
      </c>
      <c r="F24" s="117">
        <v>0.0</v>
      </c>
      <c r="G24" s="118">
        <v>46219.0</v>
      </c>
      <c r="H24" s="118">
        <v>46220.0</v>
      </c>
      <c r="I24" s="119">
        <v>2.0</v>
      </c>
      <c r="J24" s="111"/>
      <c r="K24" s="111"/>
      <c r="L24" s="112"/>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4"/>
      <c r="BP24" s="115"/>
      <c r="BQ24" s="115"/>
      <c r="BR24" s="115"/>
      <c r="BS24" s="115"/>
      <c r="BT24" s="115"/>
      <c r="BU24" s="115"/>
      <c r="BV24" s="115"/>
      <c r="BW24" s="115"/>
      <c r="BX24" s="115"/>
      <c r="BY24" s="115"/>
      <c r="BZ24" s="115"/>
      <c r="CA24" s="115"/>
      <c r="CB24" s="115"/>
    </row>
    <row r="25" ht="15.0" customHeight="1">
      <c r="A25" s="121" t="s">
        <v>243</v>
      </c>
      <c r="B25" s="121" t="s">
        <v>244</v>
      </c>
      <c r="C25" s="121" t="s">
        <v>245</v>
      </c>
      <c r="D25" s="121" t="s">
        <v>209</v>
      </c>
      <c r="E25" s="121" t="s">
        <v>210</v>
      </c>
      <c r="F25" s="122">
        <v>0.0</v>
      </c>
      <c r="G25" s="123">
        <v>46220.0</v>
      </c>
      <c r="H25" s="123">
        <v>46222.0</v>
      </c>
      <c r="I25" s="124">
        <v>3.0</v>
      </c>
      <c r="J25" s="111"/>
      <c r="K25" s="111"/>
      <c r="L25" s="112"/>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4"/>
      <c r="BP25" s="115"/>
      <c r="BQ25" s="115"/>
      <c r="BR25" s="115"/>
      <c r="BS25" s="115"/>
      <c r="BT25" s="115"/>
      <c r="BU25" s="115"/>
      <c r="BV25" s="115"/>
      <c r="BW25" s="115"/>
      <c r="BX25" s="115"/>
      <c r="BY25" s="115"/>
      <c r="BZ25" s="115"/>
      <c r="CA25" s="115"/>
      <c r="CB25" s="115"/>
    </row>
    <row r="26" ht="15.0" customHeight="1">
      <c r="A26" s="116">
        <v>1.0</v>
      </c>
      <c r="B26" s="116" t="s">
        <v>246</v>
      </c>
      <c r="C26" s="116" t="s">
        <v>247</v>
      </c>
      <c r="D26" s="116" t="s">
        <v>209</v>
      </c>
      <c r="E26" s="116" t="s">
        <v>210</v>
      </c>
      <c r="F26" s="117">
        <v>0.0</v>
      </c>
      <c r="G26" s="118">
        <v>46220.0</v>
      </c>
      <c r="H26" s="118">
        <v>46221.0</v>
      </c>
      <c r="I26" s="119">
        <v>2.0</v>
      </c>
      <c r="J26" s="111"/>
      <c r="K26" s="111"/>
      <c r="L26" s="112"/>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4"/>
      <c r="BP26" s="115"/>
      <c r="BQ26" s="115"/>
      <c r="BR26" s="115"/>
      <c r="BS26" s="115"/>
      <c r="BT26" s="115"/>
      <c r="BU26" s="115"/>
      <c r="BV26" s="115"/>
      <c r="BW26" s="115"/>
      <c r="BX26" s="115"/>
      <c r="BY26" s="115"/>
      <c r="BZ26" s="115"/>
      <c r="CA26" s="115"/>
      <c r="CB26" s="115"/>
    </row>
    <row r="27" ht="15.0" customHeight="1">
      <c r="A27" s="116">
        <v>2.0</v>
      </c>
      <c r="B27" s="116" t="s">
        <v>248</v>
      </c>
      <c r="C27" s="116" t="s">
        <v>249</v>
      </c>
      <c r="D27" s="116" t="s">
        <v>209</v>
      </c>
      <c r="E27" s="116" t="s">
        <v>210</v>
      </c>
      <c r="F27" s="117">
        <v>0.0</v>
      </c>
      <c r="G27" s="118">
        <v>46221.0</v>
      </c>
      <c r="H27" s="118">
        <v>46222.0</v>
      </c>
      <c r="I27" s="131">
        <v>2.0</v>
      </c>
      <c r="J27" s="111"/>
      <c r="K27" s="111"/>
      <c r="L27" s="112"/>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4"/>
      <c r="BP27" s="115"/>
      <c r="BQ27" s="115"/>
      <c r="BR27" s="115"/>
      <c r="BS27" s="115"/>
      <c r="BT27" s="115"/>
      <c r="BU27" s="115"/>
      <c r="BV27" s="115"/>
      <c r="BW27" s="115"/>
      <c r="BX27" s="115"/>
      <c r="BY27" s="115"/>
      <c r="BZ27" s="115"/>
      <c r="CA27" s="115"/>
      <c r="CB27" s="115"/>
    </row>
    <row r="28" ht="13.5" customHeight="1">
      <c r="A28" s="132"/>
      <c r="B28" s="132"/>
      <c r="C28" s="133"/>
      <c r="D28" s="134"/>
      <c r="E28" s="134"/>
      <c r="F28" s="135"/>
      <c r="G28" s="136"/>
      <c r="H28" s="136"/>
      <c r="I28" s="137"/>
      <c r="J28" s="136"/>
      <c r="K28" s="136"/>
      <c r="L28" s="137"/>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c r="BG28" s="138"/>
      <c r="BH28" s="138"/>
      <c r="BI28" s="138"/>
      <c r="BJ28" s="138"/>
      <c r="BK28" s="138"/>
      <c r="BL28" s="138"/>
      <c r="BM28" s="138"/>
      <c r="BN28" s="138"/>
      <c r="BO28" s="139"/>
      <c r="BP28" s="140"/>
      <c r="BQ28" s="140"/>
      <c r="BR28" s="140"/>
      <c r="BS28" s="140"/>
      <c r="BT28" s="140"/>
      <c r="BU28" s="140"/>
      <c r="BV28" s="140"/>
      <c r="BW28" s="140"/>
      <c r="BX28" s="140"/>
      <c r="BY28" s="140"/>
      <c r="BZ28" s="140"/>
      <c r="CA28" s="140"/>
      <c r="CB28" s="140"/>
    </row>
    <row r="29" ht="13.5" customHeight="1">
      <c r="A29" s="132"/>
      <c r="B29" s="132"/>
      <c r="C29" s="133"/>
      <c r="D29" s="134"/>
      <c r="E29" s="134"/>
      <c r="F29" s="135"/>
      <c r="G29" s="136"/>
      <c r="H29" s="136"/>
      <c r="I29" s="137"/>
      <c r="J29" s="136"/>
      <c r="K29" s="136"/>
      <c r="L29" s="137"/>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9"/>
      <c r="BP29" s="140"/>
      <c r="BQ29" s="140"/>
      <c r="BR29" s="140"/>
      <c r="BS29" s="140"/>
      <c r="BT29" s="140"/>
      <c r="BU29" s="140"/>
      <c r="BV29" s="140"/>
      <c r="BW29" s="140"/>
      <c r="BX29" s="140"/>
      <c r="BY29" s="140"/>
      <c r="BZ29" s="140"/>
      <c r="CA29" s="140"/>
      <c r="CB29" s="140"/>
    </row>
    <row r="30" ht="13.5" customHeight="1">
      <c r="A30" s="132"/>
      <c r="B30" s="132"/>
      <c r="C30" s="133"/>
      <c r="D30" s="134"/>
      <c r="E30" s="134"/>
      <c r="F30" s="135"/>
      <c r="G30" s="136"/>
      <c r="H30" s="136"/>
      <c r="I30" s="137"/>
      <c r="J30" s="136"/>
      <c r="K30" s="136"/>
      <c r="L30" s="137"/>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39"/>
      <c r="BP30" s="140"/>
      <c r="BQ30" s="140"/>
      <c r="BR30" s="140"/>
      <c r="BS30" s="140"/>
      <c r="BT30" s="140"/>
      <c r="BU30" s="140"/>
      <c r="BV30" s="140"/>
      <c r="BW30" s="140"/>
      <c r="BX30" s="140"/>
      <c r="BY30" s="140"/>
      <c r="BZ30" s="140"/>
      <c r="CA30" s="140"/>
      <c r="CB30" s="140"/>
    </row>
    <row r="31" ht="13.5" customHeight="1">
      <c r="A31" s="132"/>
      <c r="B31" s="132"/>
      <c r="C31" s="133"/>
      <c r="D31" s="134"/>
      <c r="E31" s="134"/>
      <c r="F31" s="135"/>
      <c r="G31" s="136"/>
      <c r="H31" s="136"/>
      <c r="I31" s="137"/>
      <c r="J31" s="136"/>
      <c r="K31" s="136"/>
      <c r="L31" s="137"/>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9"/>
      <c r="BP31" s="140"/>
      <c r="BQ31" s="140"/>
      <c r="BR31" s="140"/>
      <c r="BS31" s="140"/>
      <c r="BT31" s="140"/>
      <c r="BU31" s="140"/>
      <c r="BV31" s="140"/>
      <c r="BW31" s="140"/>
      <c r="BX31" s="140"/>
      <c r="BY31" s="140"/>
      <c r="BZ31" s="140"/>
      <c r="CA31" s="140"/>
      <c r="CB31" s="140"/>
    </row>
    <row r="32" ht="13.5" customHeight="1">
      <c r="A32" s="132"/>
      <c r="B32" s="132"/>
      <c r="C32" s="133"/>
      <c r="D32" s="134"/>
      <c r="E32" s="134"/>
      <c r="F32" s="135"/>
      <c r="G32" s="136"/>
      <c r="H32" s="136"/>
      <c r="I32" s="137"/>
      <c r="J32" s="136"/>
      <c r="K32" s="136"/>
      <c r="L32" s="137"/>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9"/>
      <c r="BP32" s="140"/>
      <c r="BQ32" s="140"/>
      <c r="BR32" s="140"/>
      <c r="BS32" s="140"/>
      <c r="BT32" s="140"/>
      <c r="BU32" s="140"/>
      <c r="BV32" s="140"/>
      <c r="BW32" s="140"/>
      <c r="BX32" s="140"/>
      <c r="BY32" s="140"/>
      <c r="BZ32" s="140"/>
      <c r="CA32" s="140"/>
      <c r="CB32" s="140"/>
    </row>
    <row r="33" ht="13.5" customHeight="1">
      <c r="A33" s="132"/>
      <c r="B33" s="141"/>
      <c r="C33" s="133"/>
      <c r="D33" s="134"/>
      <c r="E33" s="134"/>
      <c r="F33" s="135"/>
      <c r="G33" s="142"/>
      <c r="H33" s="142"/>
      <c r="I33" s="143"/>
      <c r="J33" s="136"/>
      <c r="K33" s="136"/>
      <c r="L33" s="137"/>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9"/>
      <c r="BP33" s="140"/>
      <c r="BQ33" s="140"/>
      <c r="BR33" s="140"/>
      <c r="BS33" s="140"/>
      <c r="BT33" s="140"/>
      <c r="BU33" s="140"/>
      <c r="BV33" s="140"/>
      <c r="BW33" s="140"/>
      <c r="BX33" s="140"/>
      <c r="BY33" s="140"/>
      <c r="BZ33" s="140"/>
      <c r="CA33" s="140"/>
      <c r="CB33" s="140"/>
    </row>
    <row r="34" ht="13.5" customHeight="1">
      <c r="A34" s="132"/>
      <c r="B34" s="132"/>
      <c r="C34" s="133"/>
      <c r="D34" s="134"/>
      <c r="E34" s="134"/>
      <c r="F34" s="135"/>
      <c r="G34" s="136"/>
      <c r="H34" s="136"/>
      <c r="I34" s="137"/>
      <c r="J34" s="136"/>
      <c r="K34" s="136"/>
      <c r="L34" s="137"/>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9"/>
      <c r="BP34" s="140"/>
      <c r="BQ34" s="140"/>
      <c r="BR34" s="140"/>
      <c r="BS34" s="140"/>
      <c r="BT34" s="140"/>
      <c r="BU34" s="140"/>
      <c r="BV34" s="140"/>
      <c r="BW34" s="140"/>
      <c r="BX34" s="140"/>
      <c r="BY34" s="140"/>
      <c r="BZ34" s="140"/>
      <c r="CA34" s="140"/>
      <c r="CB34" s="140"/>
    </row>
    <row r="35" ht="13.5" customHeight="1">
      <c r="A35" s="144"/>
      <c r="B35" s="144"/>
      <c r="C35" s="133"/>
      <c r="D35" s="134"/>
      <c r="E35" s="134"/>
      <c r="F35" s="135"/>
      <c r="G35" s="142"/>
      <c r="H35" s="142"/>
      <c r="I35" s="143"/>
      <c r="J35" s="136"/>
      <c r="K35" s="136"/>
      <c r="L35" s="137"/>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9"/>
      <c r="BP35" s="140"/>
      <c r="BQ35" s="140"/>
      <c r="BR35" s="140"/>
      <c r="BS35" s="140"/>
      <c r="BT35" s="140"/>
      <c r="BU35" s="140"/>
      <c r="BV35" s="140"/>
      <c r="BW35" s="140"/>
      <c r="BX35" s="140"/>
      <c r="BY35" s="140"/>
      <c r="BZ35" s="140"/>
      <c r="CA35" s="140"/>
      <c r="CB35" s="140"/>
    </row>
    <row r="36" ht="13.5" customHeight="1">
      <c r="A36" s="132"/>
      <c r="B36" s="132"/>
      <c r="C36" s="133"/>
      <c r="D36" s="134"/>
      <c r="E36" s="134"/>
      <c r="F36" s="135"/>
      <c r="G36" s="136"/>
      <c r="H36" s="136"/>
      <c r="I36" s="137"/>
      <c r="J36" s="136"/>
      <c r="K36" s="136"/>
      <c r="L36" s="137"/>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9"/>
      <c r="BP36" s="140"/>
      <c r="BQ36" s="140"/>
      <c r="BR36" s="140"/>
      <c r="BS36" s="140"/>
      <c r="BT36" s="140"/>
      <c r="BU36" s="140"/>
      <c r="BV36" s="140"/>
      <c r="BW36" s="140"/>
      <c r="BX36" s="140"/>
      <c r="BY36" s="140"/>
      <c r="BZ36" s="140"/>
      <c r="CA36" s="140"/>
      <c r="CB36" s="140"/>
    </row>
    <row r="37" ht="13.5" customHeight="1">
      <c r="A37" s="132"/>
      <c r="B37" s="132"/>
      <c r="C37" s="133"/>
      <c r="D37" s="134"/>
      <c r="E37" s="134"/>
      <c r="F37" s="135"/>
      <c r="G37" s="136"/>
      <c r="H37" s="136"/>
      <c r="I37" s="137"/>
      <c r="J37" s="136"/>
      <c r="K37" s="136"/>
      <c r="L37" s="137"/>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9"/>
      <c r="BP37" s="140"/>
      <c r="BQ37" s="140"/>
      <c r="BR37" s="140"/>
      <c r="BS37" s="140"/>
      <c r="BT37" s="140"/>
      <c r="BU37" s="140"/>
      <c r="BV37" s="140"/>
      <c r="BW37" s="140"/>
      <c r="BX37" s="140"/>
      <c r="BY37" s="140"/>
      <c r="BZ37" s="140"/>
      <c r="CA37" s="140"/>
      <c r="CB37" s="140"/>
    </row>
    <row r="38" ht="13.5" customHeight="1">
      <c r="A38" s="132"/>
      <c r="B38" s="132"/>
      <c r="C38" s="133"/>
      <c r="D38" s="134"/>
      <c r="E38" s="134"/>
      <c r="F38" s="135"/>
      <c r="G38" s="136"/>
      <c r="H38" s="136"/>
      <c r="I38" s="137"/>
      <c r="J38" s="136"/>
      <c r="K38" s="136"/>
      <c r="L38" s="137"/>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9"/>
      <c r="BP38" s="140"/>
      <c r="BQ38" s="140"/>
      <c r="BR38" s="140"/>
      <c r="BS38" s="140"/>
      <c r="BT38" s="140"/>
      <c r="BU38" s="140"/>
      <c r="BV38" s="140"/>
      <c r="BW38" s="140"/>
      <c r="BX38" s="140"/>
      <c r="BY38" s="140"/>
      <c r="BZ38" s="140"/>
      <c r="CA38" s="140"/>
      <c r="CB38" s="140"/>
    </row>
    <row r="39" ht="13.5" customHeight="1">
      <c r="A39" s="132"/>
      <c r="B39" s="132"/>
      <c r="C39" s="133"/>
      <c r="D39" s="134"/>
      <c r="E39" s="134"/>
      <c r="F39" s="135"/>
      <c r="G39" s="136"/>
      <c r="H39" s="136"/>
      <c r="I39" s="137"/>
      <c r="J39" s="136"/>
      <c r="K39" s="136"/>
      <c r="L39" s="137"/>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9"/>
      <c r="BP39" s="140"/>
      <c r="BQ39" s="140"/>
      <c r="BR39" s="140"/>
      <c r="BS39" s="140"/>
      <c r="BT39" s="140"/>
      <c r="BU39" s="140"/>
      <c r="BV39" s="140"/>
      <c r="BW39" s="140"/>
      <c r="BX39" s="140"/>
      <c r="BY39" s="140"/>
      <c r="BZ39" s="140"/>
      <c r="CA39" s="140"/>
      <c r="CB39" s="140"/>
    </row>
    <row r="40" ht="13.5" customHeight="1">
      <c r="A40" s="132"/>
      <c r="B40" s="132"/>
      <c r="C40" s="133"/>
      <c r="D40" s="134"/>
      <c r="E40" s="134"/>
      <c r="F40" s="135"/>
      <c r="G40" s="136"/>
      <c r="H40" s="136"/>
      <c r="I40" s="137"/>
      <c r="J40" s="136"/>
      <c r="K40" s="136"/>
      <c r="L40" s="137"/>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9"/>
      <c r="BP40" s="140"/>
      <c r="BQ40" s="140"/>
      <c r="BR40" s="140"/>
      <c r="BS40" s="140"/>
      <c r="BT40" s="140"/>
      <c r="BU40" s="140"/>
      <c r="BV40" s="140"/>
      <c r="BW40" s="140"/>
      <c r="BX40" s="140"/>
      <c r="BY40" s="140"/>
      <c r="BZ40" s="140"/>
      <c r="CA40" s="140"/>
      <c r="CB40" s="140"/>
    </row>
    <row r="41" ht="13.5" customHeight="1">
      <c r="A41" s="132"/>
      <c r="B41" s="132"/>
      <c r="C41" s="133"/>
      <c r="D41" s="134"/>
      <c r="E41" s="134"/>
      <c r="F41" s="135"/>
      <c r="G41" s="145"/>
      <c r="H41" s="145"/>
      <c r="I41" s="137"/>
      <c r="J41" s="136"/>
      <c r="K41" s="136"/>
      <c r="L41" s="137"/>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9"/>
      <c r="BP41" s="140"/>
      <c r="BQ41" s="140"/>
      <c r="BR41" s="140"/>
      <c r="BS41" s="140"/>
      <c r="BT41" s="140"/>
      <c r="BU41" s="140"/>
      <c r="BV41" s="140"/>
      <c r="BW41" s="140"/>
      <c r="BX41" s="140"/>
      <c r="BY41" s="140"/>
      <c r="BZ41" s="140"/>
      <c r="CA41" s="140"/>
      <c r="CB41" s="140"/>
    </row>
    <row r="42" ht="13.5" customHeight="1">
      <c r="A42" s="132"/>
      <c r="B42" s="132"/>
      <c r="C42" s="133"/>
      <c r="D42" s="134"/>
      <c r="E42" s="134"/>
      <c r="F42" s="135"/>
      <c r="G42" s="142"/>
      <c r="H42" s="142"/>
      <c r="I42" s="143"/>
      <c r="J42" s="136"/>
      <c r="K42" s="136"/>
      <c r="L42" s="137"/>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9"/>
      <c r="BP42" s="140"/>
      <c r="BQ42" s="140"/>
      <c r="BR42" s="140"/>
      <c r="BS42" s="140"/>
      <c r="BT42" s="140"/>
      <c r="BU42" s="140"/>
      <c r="BV42" s="140"/>
      <c r="BW42" s="140"/>
      <c r="BX42" s="140"/>
      <c r="BY42" s="140"/>
      <c r="BZ42" s="140"/>
      <c r="CA42" s="140"/>
      <c r="CB42" s="140"/>
    </row>
    <row r="43" ht="13.5" customHeight="1">
      <c r="A43" s="132"/>
      <c r="B43" s="132"/>
      <c r="C43" s="133"/>
      <c r="D43" s="134"/>
      <c r="E43" s="134"/>
      <c r="F43" s="135"/>
      <c r="G43" s="136"/>
      <c r="H43" s="136"/>
      <c r="I43" s="137"/>
      <c r="J43" s="136"/>
      <c r="K43" s="136"/>
      <c r="L43" s="137"/>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9"/>
      <c r="BP43" s="140"/>
      <c r="BQ43" s="140"/>
      <c r="BR43" s="140"/>
      <c r="BS43" s="140"/>
      <c r="BT43" s="140"/>
      <c r="BU43" s="140"/>
      <c r="BV43" s="140"/>
      <c r="BW43" s="140"/>
      <c r="BX43" s="140"/>
      <c r="BY43" s="140"/>
      <c r="BZ43" s="140"/>
      <c r="CA43" s="140"/>
      <c r="CB43" s="140"/>
    </row>
    <row r="44" ht="13.5" customHeight="1">
      <c r="A44" s="132"/>
      <c r="B44" s="132"/>
      <c r="C44" s="133"/>
      <c r="D44" s="134"/>
      <c r="E44" s="134"/>
      <c r="F44" s="135"/>
      <c r="G44" s="136"/>
      <c r="H44" s="136"/>
      <c r="I44" s="137"/>
      <c r="J44" s="136"/>
      <c r="K44" s="136"/>
      <c r="L44" s="137"/>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9"/>
      <c r="BP44" s="140"/>
      <c r="BQ44" s="140"/>
      <c r="BR44" s="140"/>
      <c r="BS44" s="140"/>
      <c r="BT44" s="140"/>
      <c r="BU44" s="140"/>
      <c r="BV44" s="140"/>
      <c r="BW44" s="140"/>
      <c r="BX44" s="140"/>
      <c r="BY44" s="140"/>
      <c r="BZ44" s="140"/>
      <c r="CA44" s="140"/>
      <c r="CB44" s="140"/>
    </row>
    <row r="45" ht="13.5" customHeight="1">
      <c r="A45" s="132"/>
      <c r="B45" s="132"/>
      <c r="C45" s="133"/>
      <c r="D45" s="134"/>
      <c r="E45" s="134"/>
      <c r="F45" s="135"/>
      <c r="G45" s="136"/>
      <c r="H45" s="136"/>
      <c r="I45" s="137"/>
      <c r="J45" s="136"/>
      <c r="K45" s="136"/>
      <c r="L45" s="137"/>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9"/>
      <c r="BP45" s="140"/>
      <c r="BQ45" s="140"/>
      <c r="BR45" s="140"/>
      <c r="BS45" s="140"/>
      <c r="BT45" s="140"/>
      <c r="BU45" s="140"/>
      <c r="BV45" s="140"/>
      <c r="BW45" s="140"/>
      <c r="BX45" s="140"/>
      <c r="BY45" s="140"/>
      <c r="BZ45" s="140"/>
      <c r="CA45" s="140"/>
      <c r="CB45" s="140"/>
    </row>
    <row r="46" ht="13.5" customHeight="1">
      <c r="A46" s="132"/>
      <c r="B46" s="132"/>
      <c r="C46" s="133"/>
      <c r="D46" s="134"/>
      <c r="E46" s="134"/>
      <c r="F46" s="135"/>
      <c r="G46" s="136"/>
      <c r="H46" s="136"/>
      <c r="I46" s="137"/>
      <c r="J46" s="136"/>
      <c r="K46" s="136"/>
      <c r="L46" s="137"/>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9"/>
      <c r="BP46" s="140"/>
      <c r="BQ46" s="140"/>
      <c r="BR46" s="140"/>
      <c r="BS46" s="140"/>
      <c r="BT46" s="140"/>
      <c r="BU46" s="140"/>
      <c r="BV46" s="140"/>
      <c r="BW46" s="140"/>
      <c r="BX46" s="140"/>
      <c r="BY46" s="140"/>
      <c r="BZ46" s="140"/>
      <c r="CA46" s="140"/>
      <c r="CB46" s="140"/>
    </row>
    <row r="47" ht="13.5" customHeight="1">
      <c r="A47" s="144"/>
      <c r="B47" s="144"/>
      <c r="C47" s="146"/>
      <c r="D47" s="134"/>
      <c r="E47" s="134"/>
      <c r="F47" s="135"/>
      <c r="G47" s="136"/>
      <c r="H47" s="136"/>
      <c r="I47" s="137"/>
      <c r="J47" s="136"/>
      <c r="K47" s="136"/>
      <c r="L47" s="137"/>
      <c r="M47" s="138"/>
      <c r="N47" s="138"/>
      <c r="O47" s="138"/>
      <c r="P47" s="138"/>
      <c r="Q47" s="138"/>
      <c r="R47" s="138"/>
      <c r="S47" s="138"/>
      <c r="T47" s="138"/>
      <c r="U47" s="138"/>
      <c r="V47" s="138"/>
      <c r="W47" s="138"/>
      <c r="X47" s="138"/>
      <c r="Y47" s="138"/>
      <c r="Z47" s="138"/>
      <c r="AA47" s="138"/>
      <c r="AB47" s="138"/>
      <c r="AC47" s="147"/>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9"/>
      <c r="BP47" s="140"/>
      <c r="BQ47" s="140"/>
      <c r="BR47" s="140"/>
      <c r="BS47" s="140"/>
      <c r="BT47" s="140"/>
      <c r="BU47" s="140"/>
      <c r="BV47" s="140"/>
      <c r="BW47" s="140"/>
      <c r="BX47" s="140"/>
      <c r="BY47" s="140"/>
      <c r="BZ47" s="140"/>
      <c r="CA47" s="140"/>
      <c r="CB47" s="140"/>
    </row>
    <row r="48" ht="13.5" customHeight="1">
      <c r="A48" s="132"/>
      <c r="B48" s="132"/>
      <c r="C48" s="146"/>
      <c r="D48" s="134"/>
      <c r="E48" s="134"/>
      <c r="F48" s="135"/>
      <c r="G48" s="136"/>
      <c r="H48" s="136"/>
      <c r="I48" s="137"/>
      <c r="J48" s="136"/>
      <c r="K48" s="136"/>
      <c r="L48" s="137"/>
      <c r="M48" s="138"/>
      <c r="N48" s="138"/>
      <c r="O48" s="138"/>
      <c r="P48" s="138"/>
      <c r="Q48" s="138"/>
      <c r="R48" s="138"/>
      <c r="S48" s="138"/>
      <c r="T48" s="138"/>
      <c r="U48" s="138"/>
      <c r="V48" s="138"/>
      <c r="W48" s="138"/>
      <c r="X48" s="138"/>
      <c r="Y48" s="138"/>
      <c r="Z48" s="138"/>
      <c r="AA48" s="138"/>
      <c r="AB48" s="138"/>
      <c r="AC48" s="147"/>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9"/>
      <c r="BP48" s="140"/>
      <c r="BQ48" s="140"/>
      <c r="BR48" s="140"/>
      <c r="BS48" s="140"/>
      <c r="BT48" s="140"/>
      <c r="BU48" s="140"/>
      <c r="BV48" s="140"/>
      <c r="BW48" s="140"/>
      <c r="BX48" s="140"/>
      <c r="BY48" s="140"/>
      <c r="BZ48" s="140"/>
      <c r="CA48" s="140"/>
      <c r="CB48" s="140"/>
    </row>
    <row r="49" ht="13.5" customHeight="1">
      <c r="A49" s="132"/>
      <c r="B49" s="132"/>
      <c r="C49" s="146"/>
      <c r="D49" s="134"/>
      <c r="E49" s="134"/>
      <c r="F49" s="135"/>
      <c r="G49" s="136"/>
      <c r="H49" s="136"/>
      <c r="I49" s="137"/>
      <c r="J49" s="136"/>
      <c r="K49" s="136"/>
      <c r="L49" s="137"/>
      <c r="M49" s="138"/>
      <c r="N49" s="138"/>
      <c r="O49" s="138"/>
      <c r="P49" s="138"/>
      <c r="Q49" s="138"/>
      <c r="R49" s="138"/>
      <c r="S49" s="138"/>
      <c r="T49" s="138"/>
      <c r="U49" s="138"/>
      <c r="V49" s="138"/>
      <c r="W49" s="138"/>
      <c r="X49" s="138"/>
      <c r="Y49" s="138"/>
      <c r="Z49" s="138"/>
      <c r="AA49" s="138"/>
      <c r="AB49" s="138"/>
      <c r="AC49" s="147"/>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9"/>
      <c r="BP49" s="140"/>
      <c r="BQ49" s="140"/>
      <c r="BR49" s="140"/>
      <c r="BS49" s="140"/>
      <c r="BT49" s="140"/>
      <c r="BU49" s="140"/>
      <c r="BV49" s="140"/>
      <c r="BW49" s="140"/>
      <c r="BX49" s="140"/>
      <c r="BY49" s="140"/>
      <c r="BZ49" s="140"/>
      <c r="CA49" s="140"/>
      <c r="CB49" s="140"/>
    </row>
    <row r="50" ht="13.5" customHeight="1">
      <c r="A50" s="132"/>
      <c r="B50" s="132"/>
      <c r="C50" s="146"/>
      <c r="D50" s="134"/>
      <c r="E50" s="134"/>
      <c r="F50" s="135"/>
      <c r="G50" s="136"/>
      <c r="H50" s="136"/>
      <c r="I50" s="137"/>
      <c r="J50" s="136"/>
      <c r="K50" s="136"/>
      <c r="L50" s="137"/>
      <c r="M50" s="138"/>
      <c r="N50" s="138"/>
      <c r="O50" s="138"/>
      <c r="P50" s="138"/>
      <c r="Q50" s="138"/>
      <c r="R50" s="138"/>
      <c r="S50" s="138"/>
      <c r="T50" s="138"/>
      <c r="U50" s="138"/>
      <c r="V50" s="138"/>
      <c r="W50" s="138"/>
      <c r="X50" s="138"/>
      <c r="Y50" s="138"/>
      <c r="Z50" s="138"/>
      <c r="AA50" s="138"/>
      <c r="AB50" s="138"/>
      <c r="AC50" s="147"/>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9"/>
      <c r="BP50" s="140"/>
      <c r="BQ50" s="140"/>
      <c r="BR50" s="140"/>
      <c r="BS50" s="140"/>
      <c r="BT50" s="140"/>
      <c r="BU50" s="140"/>
      <c r="BV50" s="140"/>
      <c r="BW50" s="140"/>
      <c r="BX50" s="140"/>
      <c r="BY50" s="140"/>
      <c r="BZ50" s="140"/>
      <c r="CA50" s="140"/>
      <c r="CB50" s="140"/>
    </row>
    <row r="51" ht="13.5" customHeight="1">
      <c r="A51" s="132"/>
      <c r="B51" s="132"/>
      <c r="C51" s="146"/>
      <c r="D51" s="134"/>
      <c r="E51" s="134"/>
      <c r="F51" s="135"/>
      <c r="G51" s="136"/>
      <c r="H51" s="136"/>
      <c r="I51" s="137"/>
      <c r="J51" s="136"/>
      <c r="K51" s="136"/>
      <c r="L51" s="137"/>
      <c r="M51" s="138"/>
      <c r="N51" s="138"/>
      <c r="O51" s="138"/>
      <c r="P51" s="138"/>
      <c r="Q51" s="138"/>
      <c r="R51" s="138"/>
      <c r="S51" s="138"/>
      <c r="T51" s="138"/>
      <c r="U51" s="138"/>
      <c r="V51" s="138"/>
      <c r="W51" s="138"/>
      <c r="X51" s="138"/>
      <c r="Y51" s="138"/>
      <c r="Z51" s="138"/>
      <c r="AA51" s="138"/>
      <c r="AB51" s="138"/>
      <c r="AC51" s="147"/>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9"/>
      <c r="BP51" s="140"/>
      <c r="BQ51" s="140"/>
      <c r="BR51" s="140"/>
      <c r="BS51" s="140"/>
      <c r="BT51" s="140"/>
      <c r="BU51" s="140"/>
      <c r="BV51" s="140"/>
      <c r="BW51" s="140"/>
      <c r="BX51" s="140"/>
      <c r="BY51" s="140"/>
      <c r="BZ51" s="140"/>
      <c r="CA51" s="140"/>
      <c r="CB51" s="140"/>
    </row>
    <row r="52" ht="13.5" customHeight="1">
      <c r="A52" s="134"/>
      <c r="B52" s="144"/>
      <c r="C52" s="146"/>
      <c r="D52" s="134"/>
      <c r="E52" s="134"/>
      <c r="F52" s="148"/>
      <c r="G52" s="145"/>
      <c r="H52" s="145"/>
      <c r="I52" s="134"/>
      <c r="J52" s="136"/>
      <c r="K52" s="136"/>
      <c r="L52" s="137"/>
      <c r="M52" s="138"/>
      <c r="N52" s="138"/>
      <c r="O52" s="138"/>
      <c r="P52" s="138"/>
      <c r="Q52" s="138"/>
      <c r="R52" s="138"/>
      <c r="S52" s="138"/>
      <c r="T52" s="138"/>
      <c r="U52" s="138"/>
      <c r="V52" s="138"/>
      <c r="W52" s="138"/>
      <c r="X52" s="138"/>
      <c r="Y52" s="138"/>
      <c r="Z52" s="138"/>
      <c r="AA52" s="138"/>
      <c r="AB52" s="138"/>
      <c r="AC52" s="147"/>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9"/>
      <c r="BP52" s="140"/>
      <c r="BQ52" s="140"/>
      <c r="BR52" s="140"/>
      <c r="BS52" s="140"/>
      <c r="BT52" s="140"/>
      <c r="BU52" s="140"/>
      <c r="BV52" s="140"/>
      <c r="BW52" s="140"/>
      <c r="BX52" s="140"/>
      <c r="BY52" s="140"/>
      <c r="BZ52" s="140"/>
      <c r="CA52" s="140"/>
      <c r="CB52" s="140"/>
    </row>
    <row r="53" ht="13.5" customHeight="1">
      <c r="A53" s="137"/>
      <c r="B53" s="132"/>
      <c r="C53" s="146"/>
      <c r="D53" s="134"/>
      <c r="E53" s="134"/>
      <c r="F53" s="135"/>
      <c r="G53" s="136"/>
      <c r="H53" s="136"/>
      <c r="I53" s="137"/>
      <c r="J53" s="136"/>
      <c r="K53" s="136"/>
      <c r="L53" s="137"/>
      <c r="M53" s="138"/>
      <c r="N53" s="138"/>
      <c r="O53" s="138"/>
      <c r="P53" s="138"/>
      <c r="Q53" s="138"/>
      <c r="R53" s="138"/>
      <c r="S53" s="138"/>
      <c r="T53" s="138"/>
      <c r="U53" s="138"/>
      <c r="V53" s="138"/>
      <c r="W53" s="138"/>
      <c r="X53" s="138"/>
      <c r="Y53" s="138"/>
      <c r="Z53" s="138"/>
      <c r="AA53" s="138"/>
      <c r="AB53" s="138"/>
      <c r="AC53" s="147"/>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9"/>
      <c r="BP53" s="140"/>
      <c r="BQ53" s="140"/>
      <c r="BR53" s="140"/>
      <c r="BS53" s="140"/>
      <c r="BT53" s="140"/>
      <c r="BU53" s="140"/>
      <c r="BV53" s="140"/>
      <c r="BW53" s="140"/>
      <c r="BX53" s="140"/>
      <c r="BY53" s="140"/>
      <c r="BZ53" s="140"/>
      <c r="CA53" s="140"/>
      <c r="CB53" s="140"/>
    </row>
    <row r="54" ht="13.5" customHeight="1">
      <c r="A54" s="137"/>
      <c r="B54" s="132"/>
      <c r="C54" s="146"/>
      <c r="D54" s="134"/>
      <c r="E54" s="134"/>
      <c r="F54" s="135"/>
      <c r="G54" s="136"/>
      <c r="H54" s="136"/>
      <c r="I54" s="137"/>
      <c r="J54" s="136"/>
      <c r="K54" s="136"/>
      <c r="L54" s="137"/>
      <c r="M54" s="138"/>
      <c r="N54" s="138"/>
      <c r="O54" s="138"/>
      <c r="P54" s="138"/>
      <c r="Q54" s="138"/>
      <c r="R54" s="138"/>
      <c r="S54" s="138"/>
      <c r="T54" s="138"/>
      <c r="U54" s="138"/>
      <c r="V54" s="138"/>
      <c r="W54" s="138"/>
      <c r="X54" s="138"/>
      <c r="Y54" s="138"/>
      <c r="Z54" s="138"/>
      <c r="AA54" s="138"/>
      <c r="AB54" s="138"/>
      <c r="AC54" s="147"/>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9"/>
      <c r="BP54" s="140"/>
      <c r="BQ54" s="140"/>
      <c r="BR54" s="140"/>
      <c r="BS54" s="140"/>
      <c r="BT54" s="140"/>
      <c r="BU54" s="140"/>
      <c r="BV54" s="140"/>
      <c r="BW54" s="140"/>
      <c r="BX54" s="140"/>
      <c r="BY54" s="140"/>
      <c r="BZ54" s="140"/>
      <c r="CA54" s="140"/>
      <c r="CB54" s="140"/>
    </row>
    <row r="55" ht="15.0" customHeight="1">
      <c r="A55" s="134"/>
      <c r="B55" s="149"/>
      <c r="C55" s="150"/>
      <c r="D55" s="134"/>
      <c r="E55" s="134"/>
      <c r="F55" s="135"/>
      <c r="G55" s="145"/>
      <c r="H55" s="145"/>
      <c r="I55" s="137"/>
      <c r="J55" s="136"/>
      <c r="K55" s="136"/>
      <c r="L55" s="137"/>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9"/>
      <c r="BP55" s="140"/>
      <c r="BQ55" s="140"/>
      <c r="BR55" s="140"/>
      <c r="BS55" s="140"/>
      <c r="BT55" s="140"/>
      <c r="BU55" s="140"/>
      <c r="BV55" s="140"/>
      <c r="BW55" s="140"/>
      <c r="BX55" s="140"/>
      <c r="BY55" s="140"/>
      <c r="BZ55" s="140"/>
      <c r="CA55" s="140"/>
      <c r="CB55" s="140"/>
    </row>
    <row r="56" ht="13.5" customHeight="1">
      <c r="A56" s="134"/>
      <c r="B56" s="151"/>
      <c r="C56" s="133"/>
      <c r="D56" s="134"/>
      <c r="E56" s="134"/>
      <c r="F56" s="135"/>
      <c r="G56" s="145"/>
      <c r="H56" s="145"/>
      <c r="I56" s="134"/>
      <c r="J56" s="136"/>
      <c r="K56" s="136"/>
      <c r="L56" s="137"/>
      <c r="M56" s="138"/>
      <c r="N56" s="138"/>
      <c r="O56" s="138"/>
      <c r="P56" s="138"/>
      <c r="Q56" s="138"/>
      <c r="R56" s="138"/>
      <c r="S56" s="138"/>
      <c r="T56" s="138"/>
      <c r="U56" s="138"/>
      <c r="V56" s="138"/>
      <c r="W56" s="138"/>
      <c r="X56" s="138"/>
      <c r="Y56" s="138"/>
      <c r="Z56" s="138"/>
      <c r="AA56" s="138"/>
      <c r="AB56" s="138"/>
      <c r="AC56" s="147"/>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9"/>
      <c r="BP56" s="140"/>
      <c r="BQ56" s="140"/>
      <c r="BR56" s="140"/>
      <c r="BS56" s="140"/>
      <c r="BT56" s="140"/>
      <c r="BU56" s="140"/>
      <c r="BV56" s="140"/>
      <c r="BW56" s="140"/>
      <c r="BX56" s="140"/>
      <c r="BY56" s="140"/>
      <c r="BZ56" s="140"/>
      <c r="CA56" s="140"/>
      <c r="CB56" s="140"/>
    </row>
    <row r="57" ht="13.5" customHeight="1">
      <c r="A57" s="134"/>
      <c r="B57" s="151"/>
      <c r="C57" s="133"/>
      <c r="D57" s="134"/>
      <c r="E57" s="134"/>
      <c r="F57" s="135"/>
      <c r="G57" s="145"/>
      <c r="H57" s="145"/>
      <c r="I57" s="134"/>
      <c r="J57" s="136"/>
      <c r="K57" s="136"/>
      <c r="L57" s="137"/>
      <c r="M57" s="138"/>
      <c r="N57" s="138"/>
      <c r="O57" s="138"/>
      <c r="P57" s="138"/>
      <c r="Q57" s="138"/>
      <c r="R57" s="138"/>
      <c r="S57" s="138"/>
      <c r="T57" s="138"/>
      <c r="U57" s="138"/>
      <c r="V57" s="138"/>
      <c r="W57" s="138"/>
      <c r="X57" s="138"/>
      <c r="Y57" s="138"/>
      <c r="Z57" s="138"/>
      <c r="AA57" s="138"/>
      <c r="AB57" s="138"/>
      <c r="AC57" s="147"/>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9"/>
      <c r="BP57" s="140"/>
      <c r="BQ57" s="140"/>
      <c r="BR57" s="140"/>
      <c r="BS57" s="140"/>
      <c r="BT57" s="140"/>
      <c r="BU57" s="140"/>
      <c r="BV57" s="140"/>
      <c r="BW57" s="140"/>
      <c r="BX57" s="140"/>
      <c r="BY57" s="140"/>
      <c r="BZ57" s="140"/>
      <c r="CA57" s="140"/>
      <c r="CB57" s="140"/>
    </row>
    <row r="58" ht="13.5" customHeight="1">
      <c r="A58" s="137"/>
      <c r="B58" s="133"/>
      <c r="C58" s="133"/>
      <c r="D58" s="134"/>
      <c r="E58" s="134"/>
      <c r="F58" s="135"/>
      <c r="G58" s="136"/>
      <c r="H58" s="136"/>
      <c r="I58" s="137"/>
      <c r="J58" s="136"/>
      <c r="K58" s="136"/>
      <c r="L58" s="137"/>
      <c r="M58" s="138"/>
      <c r="N58" s="138"/>
      <c r="O58" s="138"/>
      <c r="P58" s="138"/>
      <c r="Q58" s="138"/>
      <c r="R58" s="138"/>
      <c r="S58" s="138"/>
      <c r="T58" s="138"/>
      <c r="U58" s="138"/>
      <c r="V58" s="138"/>
      <c r="W58" s="138"/>
      <c r="X58" s="138"/>
      <c r="Y58" s="138"/>
      <c r="Z58" s="138"/>
      <c r="AA58" s="138"/>
      <c r="AB58" s="138"/>
      <c r="AC58" s="147"/>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9"/>
      <c r="BP58" s="140"/>
      <c r="BQ58" s="140"/>
      <c r="BR58" s="140"/>
      <c r="BS58" s="140"/>
      <c r="BT58" s="140"/>
      <c r="BU58" s="140"/>
      <c r="BV58" s="140"/>
      <c r="BW58" s="140"/>
      <c r="BX58" s="140"/>
      <c r="BY58" s="140"/>
      <c r="BZ58" s="140"/>
      <c r="CA58" s="140"/>
      <c r="CB58" s="140"/>
    </row>
    <row r="59" ht="13.5" customHeight="1">
      <c r="A59" s="137"/>
      <c r="B59" s="133"/>
      <c r="C59" s="133"/>
      <c r="D59" s="134"/>
      <c r="E59" s="134"/>
      <c r="F59" s="135"/>
      <c r="G59" s="136"/>
      <c r="H59" s="136"/>
      <c r="I59" s="137"/>
      <c r="J59" s="136"/>
      <c r="K59" s="136"/>
      <c r="L59" s="137"/>
      <c r="M59" s="138"/>
      <c r="N59" s="138"/>
      <c r="O59" s="138"/>
      <c r="P59" s="138"/>
      <c r="Q59" s="138"/>
      <c r="R59" s="138"/>
      <c r="S59" s="138"/>
      <c r="T59" s="138"/>
      <c r="U59" s="138"/>
      <c r="V59" s="138"/>
      <c r="W59" s="138"/>
      <c r="X59" s="138"/>
      <c r="Y59" s="138"/>
      <c r="Z59" s="138"/>
      <c r="AA59" s="138"/>
      <c r="AB59" s="138"/>
      <c r="AC59" s="147"/>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9"/>
      <c r="BP59" s="140"/>
      <c r="BQ59" s="140"/>
      <c r="BR59" s="140"/>
      <c r="BS59" s="140"/>
      <c r="BT59" s="140"/>
      <c r="BU59" s="140"/>
      <c r="BV59" s="140"/>
      <c r="BW59" s="140"/>
      <c r="BX59" s="140"/>
      <c r="BY59" s="140"/>
      <c r="BZ59" s="140"/>
      <c r="CA59" s="140"/>
      <c r="CB59" s="140"/>
    </row>
    <row r="60" ht="13.5" customHeight="1">
      <c r="A60" s="137"/>
      <c r="B60" s="133"/>
      <c r="C60" s="133"/>
      <c r="D60" s="134"/>
      <c r="E60" s="134"/>
      <c r="F60" s="135"/>
      <c r="G60" s="136"/>
      <c r="H60" s="136"/>
      <c r="I60" s="137"/>
      <c r="J60" s="136"/>
      <c r="K60" s="136"/>
      <c r="L60" s="137"/>
      <c r="M60" s="138"/>
      <c r="N60" s="138"/>
      <c r="O60" s="138"/>
      <c r="P60" s="138"/>
      <c r="Q60" s="138"/>
      <c r="R60" s="138"/>
      <c r="S60" s="138"/>
      <c r="T60" s="138"/>
      <c r="U60" s="138"/>
      <c r="V60" s="138"/>
      <c r="W60" s="138"/>
      <c r="X60" s="138"/>
      <c r="Y60" s="138"/>
      <c r="Z60" s="138"/>
      <c r="AA60" s="138"/>
      <c r="AB60" s="138"/>
      <c r="AC60" s="147"/>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9"/>
      <c r="BP60" s="140"/>
      <c r="BQ60" s="140"/>
      <c r="BR60" s="140"/>
      <c r="BS60" s="140"/>
      <c r="BT60" s="140"/>
      <c r="BU60" s="140"/>
      <c r="BV60" s="140"/>
      <c r="BW60" s="140"/>
      <c r="BX60" s="140"/>
      <c r="BY60" s="140"/>
      <c r="BZ60" s="140"/>
      <c r="CA60" s="140"/>
      <c r="CB60" s="140"/>
    </row>
    <row r="61" ht="13.5" customHeight="1">
      <c r="A61" s="137"/>
      <c r="B61" s="133"/>
      <c r="C61" s="133"/>
      <c r="D61" s="134"/>
      <c r="E61" s="134"/>
      <c r="F61" s="135"/>
      <c r="G61" s="136"/>
      <c r="H61" s="136"/>
      <c r="I61" s="137"/>
      <c r="J61" s="136"/>
      <c r="K61" s="136"/>
      <c r="L61" s="137"/>
      <c r="M61" s="138"/>
      <c r="N61" s="138"/>
      <c r="O61" s="138"/>
      <c r="P61" s="138"/>
      <c r="Q61" s="138"/>
      <c r="R61" s="138"/>
      <c r="S61" s="138"/>
      <c r="T61" s="138"/>
      <c r="U61" s="138"/>
      <c r="V61" s="138"/>
      <c r="W61" s="138"/>
      <c r="X61" s="138"/>
      <c r="Y61" s="138"/>
      <c r="Z61" s="138"/>
      <c r="AA61" s="138"/>
      <c r="AB61" s="138"/>
      <c r="AC61" s="147"/>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9"/>
      <c r="BP61" s="140"/>
      <c r="BQ61" s="140"/>
      <c r="BR61" s="140"/>
      <c r="BS61" s="140"/>
      <c r="BT61" s="140"/>
      <c r="BU61" s="140"/>
      <c r="BV61" s="140"/>
      <c r="BW61" s="140"/>
      <c r="BX61" s="140"/>
      <c r="BY61" s="140"/>
      <c r="BZ61" s="140"/>
      <c r="CA61" s="140"/>
      <c r="CB61" s="140"/>
    </row>
    <row r="62" ht="13.5" customHeight="1">
      <c r="A62" s="134"/>
      <c r="B62" s="151"/>
      <c r="C62" s="133"/>
      <c r="D62" s="134"/>
      <c r="E62" s="134"/>
      <c r="F62" s="135"/>
      <c r="G62" s="145"/>
      <c r="H62" s="145"/>
      <c r="I62" s="134"/>
      <c r="J62" s="136"/>
      <c r="K62" s="136"/>
      <c r="L62" s="137"/>
      <c r="M62" s="138"/>
      <c r="N62" s="138"/>
      <c r="O62" s="138"/>
      <c r="P62" s="138"/>
      <c r="Q62" s="138"/>
      <c r="R62" s="138"/>
      <c r="S62" s="138"/>
      <c r="T62" s="138"/>
      <c r="U62" s="138"/>
      <c r="V62" s="138"/>
      <c r="W62" s="138"/>
      <c r="X62" s="138"/>
      <c r="Y62" s="138"/>
      <c r="Z62" s="138"/>
      <c r="AA62" s="138"/>
      <c r="AB62" s="138"/>
      <c r="AC62" s="147"/>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9"/>
      <c r="BP62" s="140"/>
      <c r="BQ62" s="140"/>
      <c r="BR62" s="140"/>
      <c r="BS62" s="140"/>
      <c r="BT62" s="140"/>
      <c r="BU62" s="140"/>
      <c r="BV62" s="140"/>
      <c r="BW62" s="140"/>
      <c r="BX62" s="140"/>
      <c r="BY62" s="140"/>
      <c r="BZ62" s="140"/>
      <c r="CA62" s="140"/>
      <c r="CB62" s="140"/>
    </row>
    <row r="63" ht="13.5" customHeight="1">
      <c r="A63" s="137"/>
      <c r="B63" s="133"/>
      <c r="C63" s="133"/>
      <c r="D63" s="134"/>
      <c r="E63" s="134"/>
      <c r="F63" s="135"/>
      <c r="G63" s="136"/>
      <c r="H63" s="136"/>
      <c r="I63" s="137"/>
      <c r="J63" s="136"/>
      <c r="K63" s="136"/>
      <c r="L63" s="137"/>
      <c r="M63" s="138"/>
      <c r="N63" s="138"/>
      <c r="O63" s="138"/>
      <c r="P63" s="138"/>
      <c r="Q63" s="138"/>
      <c r="R63" s="138"/>
      <c r="S63" s="138"/>
      <c r="T63" s="138"/>
      <c r="U63" s="138"/>
      <c r="V63" s="138"/>
      <c r="W63" s="138"/>
      <c r="X63" s="138"/>
      <c r="Y63" s="138"/>
      <c r="Z63" s="138"/>
      <c r="AA63" s="138"/>
      <c r="AB63" s="138"/>
      <c r="AC63" s="147"/>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9"/>
      <c r="BP63" s="140"/>
      <c r="BQ63" s="140"/>
      <c r="BR63" s="140"/>
      <c r="BS63" s="140"/>
      <c r="BT63" s="140"/>
      <c r="BU63" s="140"/>
      <c r="BV63" s="140"/>
      <c r="BW63" s="140"/>
      <c r="BX63" s="140"/>
      <c r="BY63" s="140"/>
      <c r="BZ63" s="140"/>
      <c r="CA63" s="140"/>
      <c r="CB63" s="140"/>
    </row>
    <row r="64" ht="13.5" customHeight="1">
      <c r="A64" s="137"/>
      <c r="B64" s="133"/>
      <c r="C64" s="133"/>
      <c r="D64" s="134"/>
      <c r="E64" s="134"/>
      <c r="F64" s="135"/>
      <c r="G64" s="136"/>
      <c r="H64" s="136"/>
      <c r="I64" s="137"/>
      <c r="J64" s="136"/>
      <c r="K64" s="136"/>
      <c r="L64" s="137"/>
      <c r="M64" s="138"/>
      <c r="N64" s="138"/>
      <c r="O64" s="138"/>
      <c r="P64" s="138"/>
      <c r="Q64" s="138"/>
      <c r="R64" s="138"/>
      <c r="S64" s="138"/>
      <c r="T64" s="138"/>
      <c r="U64" s="138"/>
      <c r="V64" s="138"/>
      <c r="W64" s="138"/>
      <c r="X64" s="138"/>
      <c r="Y64" s="138"/>
      <c r="Z64" s="138"/>
      <c r="AA64" s="138"/>
      <c r="AB64" s="138"/>
      <c r="AC64" s="147"/>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9"/>
      <c r="BP64" s="140"/>
      <c r="BQ64" s="140"/>
      <c r="BR64" s="140"/>
      <c r="BS64" s="140"/>
      <c r="BT64" s="140"/>
      <c r="BU64" s="140"/>
      <c r="BV64" s="140"/>
      <c r="BW64" s="140"/>
      <c r="BX64" s="140"/>
      <c r="BY64" s="140"/>
      <c r="BZ64" s="140"/>
      <c r="CA64" s="140"/>
      <c r="CB64" s="140"/>
    </row>
    <row r="65" ht="13.5" customHeight="1">
      <c r="A65" s="137"/>
      <c r="B65" s="133"/>
      <c r="C65" s="133"/>
      <c r="D65" s="134"/>
      <c r="E65" s="134"/>
      <c r="F65" s="135"/>
      <c r="G65" s="136"/>
      <c r="H65" s="136"/>
      <c r="I65" s="137"/>
      <c r="J65" s="136"/>
      <c r="K65" s="136"/>
      <c r="L65" s="137"/>
      <c r="M65" s="138"/>
      <c r="N65" s="138"/>
      <c r="O65" s="138"/>
      <c r="P65" s="138"/>
      <c r="Q65" s="138"/>
      <c r="R65" s="138"/>
      <c r="S65" s="138"/>
      <c r="T65" s="138"/>
      <c r="U65" s="138"/>
      <c r="V65" s="138"/>
      <c r="W65" s="138"/>
      <c r="X65" s="138"/>
      <c r="Y65" s="138"/>
      <c r="Z65" s="138"/>
      <c r="AA65" s="138"/>
      <c r="AB65" s="138"/>
      <c r="AC65" s="147"/>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B65" s="138"/>
      <c r="BC65" s="138"/>
      <c r="BD65" s="138"/>
      <c r="BE65" s="138"/>
      <c r="BF65" s="138"/>
      <c r="BG65" s="138"/>
      <c r="BH65" s="138"/>
      <c r="BI65" s="138"/>
      <c r="BJ65" s="138"/>
      <c r="BK65" s="138"/>
      <c r="BL65" s="138"/>
      <c r="BM65" s="138"/>
      <c r="BN65" s="138"/>
      <c r="BO65" s="139"/>
      <c r="BP65" s="140"/>
      <c r="BQ65" s="140"/>
      <c r="BR65" s="140"/>
      <c r="BS65" s="140"/>
      <c r="BT65" s="140"/>
      <c r="BU65" s="140"/>
      <c r="BV65" s="140"/>
      <c r="BW65" s="140"/>
      <c r="BX65" s="140"/>
      <c r="BY65" s="140"/>
      <c r="BZ65" s="140"/>
      <c r="CA65" s="140"/>
      <c r="CB65" s="140"/>
    </row>
    <row r="66" ht="13.5" customHeight="1">
      <c r="A66" s="134"/>
      <c r="B66" s="144"/>
      <c r="C66" s="146"/>
      <c r="D66" s="134"/>
      <c r="E66" s="134"/>
      <c r="F66" s="135"/>
      <c r="G66" s="145"/>
      <c r="H66" s="145"/>
      <c r="I66" s="134"/>
      <c r="J66" s="136"/>
      <c r="K66" s="136"/>
      <c r="L66" s="137"/>
      <c r="M66" s="138"/>
      <c r="N66" s="138"/>
      <c r="O66" s="138"/>
      <c r="P66" s="138"/>
      <c r="Q66" s="138"/>
      <c r="R66" s="138"/>
      <c r="S66" s="138"/>
      <c r="T66" s="138"/>
      <c r="U66" s="138"/>
      <c r="V66" s="138"/>
      <c r="W66" s="138"/>
      <c r="X66" s="138"/>
      <c r="Y66" s="138"/>
      <c r="Z66" s="138"/>
      <c r="AA66" s="138"/>
      <c r="AB66" s="138"/>
      <c r="AC66" s="147"/>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8"/>
      <c r="BD66" s="138"/>
      <c r="BE66" s="138"/>
      <c r="BF66" s="138"/>
      <c r="BG66" s="138"/>
      <c r="BH66" s="138"/>
      <c r="BI66" s="138"/>
      <c r="BJ66" s="138"/>
      <c r="BK66" s="138"/>
      <c r="BL66" s="138"/>
      <c r="BM66" s="138"/>
      <c r="BN66" s="138"/>
      <c r="BO66" s="139"/>
      <c r="BP66" s="140"/>
      <c r="BQ66" s="140"/>
      <c r="BR66" s="140"/>
      <c r="BS66" s="140"/>
      <c r="BT66" s="140"/>
      <c r="BU66" s="140"/>
      <c r="BV66" s="140"/>
      <c r="BW66" s="140"/>
      <c r="BX66" s="140"/>
      <c r="BY66" s="140"/>
      <c r="BZ66" s="140"/>
      <c r="CA66" s="140"/>
      <c r="CB66" s="140"/>
    </row>
    <row r="67" ht="13.5" customHeight="1">
      <c r="A67" s="134"/>
      <c r="B67" s="144"/>
      <c r="C67" s="146"/>
      <c r="D67" s="134"/>
      <c r="E67" s="134"/>
      <c r="F67" s="135"/>
      <c r="G67" s="145"/>
      <c r="H67" s="145"/>
      <c r="I67" s="134"/>
      <c r="J67" s="136"/>
      <c r="K67" s="136"/>
      <c r="L67" s="137"/>
      <c r="M67" s="138"/>
      <c r="N67" s="138"/>
      <c r="O67" s="138"/>
      <c r="P67" s="138"/>
      <c r="Q67" s="138"/>
      <c r="R67" s="138"/>
      <c r="S67" s="138"/>
      <c r="T67" s="138"/>
      <c r="U67" s="138"/>
      <c r="V67" s="138"/>
      <c r="W67" s="138"/>
      <c r="X67" s="138"/>
      <c r="Y67" s="138"/>
      <c r="Z67" s="138"/>
      <c r="AA67" s="138"/>
      <c r="AB67" s="138"/>
      <c r="AC67" s="147"/>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B67" s="138"/>
      <c r="BC67" s="138"/>
      <c r="BD67" s="138"/>
      <c r="BE67" s="138"/>
      <c r="BF67" s="138"/>
      <c r="BG67" s="138"/>
      <c r="BH67" s="138"/>
      <c r="BI67" s="138"/>
      <c r="BJ67" s="138"/>
      <c r="BK67" s="138"/>
      <c r="BL67" s="138"/>
      <c r="BM67" s="138"/>
      <c r="BN67" s="138"/>
      <c r="BO67" s="139"/>
      <c r="BP67" s="140"/>
      <c r="BQ67" s="140"/>
      <c r="BR67" s="140"/>
      <c r="BS67" s="140"/>
      <c r="BT67" s="140"/>
      <c r="BU67" s="140"/>
      <c r="BV67" s="140"/>
      <c r="BW67" s="140"/>
      <c r="BX67" s="140"/>
      <c r="BY67" s="140"/>
      <c r="BZ67" s="140"/>
      <c r="CA67" s="140"/>
      <c r="CB67" s="140"/>
    </row>
    <row r="68" ht="15.0" customHeight="1">
      <c r="A68" s="134"/>
      <c r="B68" s="152"/>
      <c r="C68" s="153"/>
      <c r="D68" s="134"/>
      <c r="E68" s="134"/>
      <c r="F68" s="135"/>
      <c r="G68" s="145"/>
      <c r="H68" s="145"/>
      <c r="I68" s="137"/>
      <c r="J68" s="136"/>
      <c r="K68" s="136"/>
      <c r="L68" s="137"/>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9"/>
      <c r="BP68" s="140"/>
      <c r="BQ68" s="140"/>
      <c r="BR68" s="140"/>
      <c r="BS68" s="140"/>
      <c r="BT68" s="140"/>
      <c r="BU68" s="140"/>
      <c r="BV68" s="140"/>
      <c r="BW68" s="140"/>
      <c r="BX68" s="140"/>
      <c r="BY68" s="140"/>
      <c r="BZ68" s="140"/>
      <c r="CA68" s="140"/>
      <c r="CB68" s="140"/>
    </row>
    <row r="69" ht="13.5" customHeight="1">
      <c r="A69" s="134"/>
      <c r="B69" s="151"/>
      <c r="C69" s="133"/>
      <c r="D69" s="134"/>
      <c r="E69" s="134"/>
      <c r="F69" s="135"/>
      <c r="G69" s="136"/>
      <c r="H69" s="136"/>
      <c r="I69" s="137"/>
      <c r="J69" s="136"/>
      <c r="K69" s="136"/>
      <c r="L69" s="137"/>
      <c r="M69" s="138"/>
      <c r="N69" s="138"/>
      <c r="O69" s="138"/>
      <c r="P69" s="138"/>
      <c r="Q69" s="138"/>
      <c r="R69" s="138"/>
      <c r="S69" s="138"/>
      <c r="T69" s="138"/>
      <c r="U69" s="138"/>
      <c r="V69" s="138"/>
      <c r="W69" s="138"/>
      <c r="X69" s="138"/>
      <c r="Y69" s="138"/>
      <c r="Z69" s="138"/>
      <c r="AA69" s="138"/>
      <c r="AB69" s="138"/>
      <c r="AC69" s="147"/>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9"/>
      <c r="BP69" s="140"/>
      <c r="BQ69" s="140"/>
      <c r="BR69" s="140"/>
      <c r="BS69" s="140"/>
      <c r="BT69" s="140"/>
      <c r="BU69" s="140"/>
      <c r="BV69" s="140"/>
      <c r="BW69" s="140"/>
      <c r="BX69" s="140"/>
      <c r="BY69" s="140"/>
      <c r="BZ69" s="140"/>
      <c r="CA69" s="140"/>
      <c r="CB69" s="140"/>
    </row>
    <row r="70" ht="13.5" customHeight="1">
      <c r="G70" s="154"/>
      <c r="J70" s="154"/>
    </row>
    <row r="71" ht="13.5" customHeight="1">
      <c r="G71" s="154"/>
      <c r="J71" s="154"/>
    </row>
    <row r="72" ht="13.5" customHeight="1">
      <c r="G72" s="154"/>
      <c r="J72" s="154"/>
    </row>
    <row r="73" ht="13.5" customHeight="1">
      <c r="G73" s="154"/>
      <c r="J73" s="154"/>
    </row>
    <row r="74" ht="13.5" customHeight="1">
      <c r="G74" s="154"/>
      <c r="J74" s="154"/>
    </row>
    <row r="75" ht="13.5" customHeight="1">
      <c r="G75" s="154"/>
      <c r="J75" s="154"/>
    </row>
    <row r="76" ht="13.5" customHeight="1">
      <c r="G76" s="154"/>
      <c r="J76" s="154"/>
    </row>
    <row r="77" ht="13.5" customHeight="1">
      <c r="G77" s="154"/>
      <c r="J77" s="154"/>
    </row>
    <row r="78" ht="13.5" customHeight="1">
      <c r="G78" s="154"/>
      <c r="J78" s="154"/>
    </row>
    <row r="79" ht="13.5" customHeight="1">
      <c r="G79" s="154"/>
      <c r="J79" s="154"/>
    </row>
    <row r="80" ht="13.5" customHeight="1">
      <c r="G80" s="154"/>
      <c r="J80" s="154"/>
    </row>
    <row r="81" ht="13.5" customHeight="1">
      <c r="G81" s="154"/>
      <c r="J81" s="154"/>
    </row>
    <row r="82" ht="13.5" customHeight="1">
      <c r="G82" s="154"/>
      <c r="J82" s="154"/>
    </row>
    <row r="83" ht="13.5" customHeight="1">
      <c r="G83" s="154"/>
      <c r="J83" s="154"/>
    </row>
    <row r="84" ht="13.5" customHeight="1">
      <c r="G84" s="154"/>
      <c r="J84" s="154"/>
    </row>
    <row r="85" ht="13.5" customHeight="1">
      <c r="G85" s="154"/>
      <c r="J85" s="154"/>
    </row>
    <row r="86" ht="13.5" customHeight="1">
      <c r="G86" s="154"/>
      <c r="J86" s="154"/>
    </row>
    <row r="87" ht="13.5" customHeight="1">
      <c r="G87" s="154"/>
      <c r="J87" s="154"/>
    </row>
    <row r="88" ht="13.5" customHeight="1">
      <c r="G88" s="154"/>
      <c r="J88" s="154"/>
    </row>
    <row r="89" ht="13.5" customHeight="1">
      <c r="G89" s="154"/>
      <c r="J89" s="154"/>
    </row>
    <row r="90" ht="13.5" customHeight="1">
      <c r="G90" s="154"/>
      <c r="J90" s="154"/>
    </row>
    <row r="91" ht="13.5" customHeight="1">
      <c r="G91" s="154"/>
      <c r="J91" s="154"/>
    </row>
    <row r="92" ht="13.5" customHeight="1">
      <c r="G92" s="154"/>
      <c r="J92" s="154"/>
    </row>
    <row r="93" ht="13.5" customHeight="1">
      <c r="G93" s="154"/>
      <c r="J93" s="154"/>
    </row>
    <row r="94" ht="13.5" customHeight="1">
      <c r="G94" s="154"/>
      <c r="J94" s="154"/>
    </row>
    <row r="95" ht="13.5" customHeight="1">
      <c r="G95" s="154"/>
      <c r="J95" s="154"/>
    </row>
    <row r="96" ht="13.5" customHeight="1">
      <c r="G96" s="154"/>
      <c r="J96" s="154"/>
    </row>
    <row r="97" ht="13.5" customHeight="1">
      <c r="G97" s="154"/>
      <c r="J97" s="154"/>
    </row>
    <row r="98" ht="13.5" customHeight="1">
      <c r="G98" s="154"/>
      <c r="J98" s="154"/>
    </row>
    <row r="99" ht="13.5" customHeight="1">
      <c r="G99" s="154"/>
      <c r="J99" s="154"/>
    </row>
    <row r="100" ht="13.5" customHeight="1">
      <c r="G100" s="154"/>
      <c r="J100" s="154"/>
    </row>
    <row r="101" ht="13.5" customHeight="1">
      <c r="G101" s="154"/>
      <c r="J101" s="154"/>
    </row>
    <row r="102" ht="13.5" customHeight="1">
      <c r="G102" s="154"/>
      <c r="J102" s="154"/>
    </row>
    <row r="103" ht="13.5" customHeight="1">
      <c r="G103" s="154"/>
      <c r="J103" s="154"/>
    </row>
    <row r="104" ht="13.5" customHeight="1">
      <c r="G104" s="154"/>
      <c r="J104" s="154"/>
    </row>
    <row r="105" ht="13.5" customHeight="1">
      <c r="G105" s="154"/>
      <c r="J105" s="154"/>
    </row>
    <row r="106" ht="13.5" customHeight="1">
      <c r="G106" s="154"/>
      <c r="J106" s="154"/>
    </row>
    <row r="107" ht="13.5" customHeight="1">
      <c r="G107" s="154"/>
      <c r="J107" s="154"/>
    </row>
    <row r="108" ht="13.5" customHeight="1">
      <c r="G108" s="154"/>
      <c r="J108" s="154"/>
    </row>
    <row r="109" ht="13.5" customHeight="1">
      <c r="G109" s="154"/>
      <c r="J109" s="154"/>
    </row>
    <row r="110" ht="13.5" customHeight="1">
      <c r="G110" s="154"/>
      <c r="J110" s="154"/>
    </row>
    <row r="111" ht="13.5" customHeight="1">
      <c r="G111" s="154"/>
      <c r="J111" s="154"/>
    </row>
    <row r="112" ht="13.5" customHeight="1">
      <c r="G112" s="154"/>
      <c r="J112" s="154"/>
    </row>
    <row r="113" ht="13.5" customHeight="1">
      <c r="G113" s="154"/>
      <c r="J113" s="154"/>
    </row>
    <row r="114" ht="13.5" customHeight="1">
      <c r="G114" s="154"/>
      <c r="J114" s="154"/>
    </row>
    <row r="115" ht="13.5" customHeight="1">
      <c r="G115" s="154"/>
      <c r="J115" s="154"/>
    </row>
    <row r="116" ht="13.5" customHeight="1">
      <c r="G116" s="154"/>
      <c r="J116" s="154"/>
    </row>
    <row r="117" ht="13.5" customHeight="1">
      <c r="G117" s="154"/>
      <c r="J117" s="154"/>
    </row>
    <row r="118" ht="13.5" customHeight="1">
      <c r="G118" s="154"/>
      <c r="J118" s="154"/>
    </row>
    <row r="119" ht="13.5" customHeight="1">
      <c r="G119" s="154"/>
      <c r="J119" s="154"/>
    </row>
    <row r="120" ht="13.5" customHeight="1">
      <c r="G120" s="154"/>
      <c r="J120" s="154"/>
    </row>
    <row r="121" ht="13.5" customHeight="1">
      <c r="G121" s="154"/>
      <c r="J121" s="154"/>
    </row>
    <row r="122" ht="13.5" customHeight="1">
      <c r="G122" s="154"/>
      <c r="J122" s="154"/>
    </row>
    <row r="123" ht="13.5" customHeight="1">
      <c r="G123" s="154"/>
      <c r="J123" s="154"/>
    </row>
    <row r="124" ht="13.5" customHeight="1">
      <c r="G124" s="154"/>
      <c r="J124" s="154"/>
    </row>
    <row r="125" ht="13.5" customHeight="1">
      <c r="G125" s="154"/>
      <c r="J125" s="154"/>
    </row>
    <row r="126" ht="13.5" customHeight="1">
      <c r="G126" s="154"/>
      <c r="J126" s="154"/>
    </row>
    <row r="127" ht="13.5" customHeight="1">
      <c r="G127" s="154"/>
      <c r="J127" s="154"/>
    </row>
    <row r="128" ht="13.5" customHeight="1">
      <c r="G128" s="154"/>
      <c r="J128" s="154"/>
    </row>
    <row r="129" ht="13.5" customHeight="1">
      <c r="G129" s="154"/>
      <c r="J129" s="154"/>
    </row>
    <row r="130" ht="13.5" customHeight="1">
      <c r="G130" s="154"/>
      <c r="J130" s="154"/>
    </row>
    <row r="131" ht="13.5" customHeight="1">
      <c r="G131" s="154"/>
      <c r="J131" s="154"/>
    </row>
    <row r="132" ht="13.5" customHeight="1">
      <c r="G132" s="154"/>
      <c r="J132" s="154"/>
    </row>
    <row r="133" ht="13.5" customHeight="1">
      <c r="G133" s="154"/>
      <c r="J133" s="154"/>
    </row>
    <row r="134" ht="13.5" customHeight="1">
      <c r="G134" s="154"/>
      <c r="J134" s="154"/>
    </row>
    <row r="135" ht="13.5" customHeight="1">
      <c r="G135" s="154"/>
      <c r="J135" s="154"/>
    </row>
    <row r="136" ht="13.5" customHeight="1">
      <c r="G136" s="154"/>
      <c r="J136" s="154"/>
    </row>
    <row r="137" ht="13.5" customHeight="1">
      <c r="G137" s="154"/>
      <c r="J137" s="154"/>
    </row>
    <row r="138" ht="13.5" customHeight="1">
      <c r="G138" s="154"/>
      <c r="J138" s="154"/>
    </row>
    <row r="139" ht="13.5" customHeight="1">
      <c r="G139" s="154"/>
      <c r="J139" s="154"/>
    </row>
    <row r="140" ht="13.5" customHeight="1">
      <c r="G140" s="154"/>
      <c r="J140" s="154"/>
    </row>
    <row r="141" ht="13.5" customHeight="1">
      <c r="G141" s="154"/>
      <c r="J141" s="154"/>
    </row>
    <row r="142" ht="13.5" customHeight="1">
      <c r="G142" s="154"/>
      <c r="J142" s="154"/>
    </row>
    <row r="143" ht="13.5" customHeight="1">
      <c r="G143" s="154"/>
      <c r="J143" s="154"/>
    </row>
    <row r="144" ht="13.5" customHeight="1">
      <c r="G144" s="154"/>
      <c r="J144" s="154"/>
    </row>
    <row r="145" ht="13.5" customHeight="1">
      <c r="G145" s="154"/>
      <c r="J145" s="154"/>
    </row>
    <row r="146" ht="13.5" customHeight="1">
      <c r="G146" s="154"/>
      <c r="J146" s="154"/>
    </row>
    <row r="147" ht="13.5" customHeight="1">
      <c r="G147" s="154"/>
      <c r="J147" s="154"/>
    </row>
    <row r="148" ht="13.5" customHeight="1">
      <c r="G148" s="154"/>
      <c r="J148" s="154"/>
    </row>
    <row r="149" ht="13.5" customHeight="1">
      <c r="G149" s="154"/>
      <c r="J149" s="154"/>
    </row>
    <row r="150" ht="13.5" customHeight="1">
      <c r="G150" s="154"/>
      <c r="J150" s="154"/>
    </row>
    <row r="151" ht="13.5" customHeight="1">
      <c r="G151" s="154"/>
      <c r="J151" s="154"/>
    </row>
    <row r="152" ht="13.5" customHeight="1">
      <c r="G152" s="154"/>
      <c r="J152" s="154"/>
    </row>
    <row r="153" ht="13.5" customHeight="1">
      <c r="G153" s="154"/>
      <c r="J153" s="154"/>
    </row>
    <row r="154" ht="13.5" customHeight="1">
      <c r="G154" s="154"/>
      <c r="J154" s="154"/>
    </row>
    <row r="155" ht="13.5" customHeight="1">
      <c r="G155" s="154"/>
      <c r="J155" s="154"/>
    </row>
    <row r="156" ht="13.5" customHeight="1">
      <c r="G156" s="154"/>
      <c r="J156" s="154"/>
    </row>
    <row r="157" ht="13.5" customHeight="1">
      <c r="G157" s="154"/>
      <c r="J157" s="154"/>
    </row>
    <row r="158" ht="13.5" customHeight="1">
      <c r="G158" s="154"/>
      <c r="J158" s="154"/>
    </row>
    <row r="159" ht="13.5" customHeight="1">
      <c r="G159" s="154"/>
      <c r="J159" s="154"/>
    </row>
    <row r="160" ht="13.5" customHeight="1">
      <c r="G160" s="154"/>
      <c r="J160" s="154"/>
    </row>
    <row r="161" ht="13.5" customHeight="1">
      <c r="G161" s="154"/>
      <c r="J161" s="154"/>
    </row>
    <row r="162" ht="13.5" customHeight="1">
      <c r="G162" s="154"/>
      <c r="J162" s="154"/>
    </row>
    <row r="163" ht="13.5" customHeight="1">
      <c r="G163" s="154"/>
      <c r="J163" s="154"/>
    </row>
    <row r="164" ht="13.5" customHeight="1">
      <c r="G164" s="154"/>
      <c r="J164" s="154"/>
    </row>
    <row r="165" ht="13.5" customHeight="1">
      <c r="G165" s="154"/>
      <c r="J165" s="154"/>
    </row>
    <row r="166" ht="13.5" customHeight="1">
      <c r="G166" s="154"/>
      <c r="J166" s="154"/>
    </row>
    <row r="167" ht="13.5" customHeight="1">
      <c r="G167" s="154"/>
      <c r="J167" s="154"/>
    </row>
    <row r="168" ht="13.5" customHeight="1">
      <c r="G168" s="154"/>
      <c r="J168" s="154"/>
    </row>
    <row r="169" ht="13.5" customHeight="1">
      <c r="G169" s="154"/>
      <c r="J169" s="154"/>
    </row>
    <row r="170" ht="13.5" customHeight="1">
      <c r="G170" s="154"/>
      <c r="J170" s="154"/>
    </row>
    <row r="171" ht="13.5" customHeight="1">
      <c r="G171" s="154"/>
      <c r="J171" s="154"/>
    </row>
    <row r="172" ht="13.5" customHeight="1">
      <c r="G172" s="154"/>
      <c r="J172" s="154"/>
    </row>
    <row r="173" ht="13.5" customHeight="1">
      <c r="G173" s="154"/>
      <c r="J173" s="154"/>
    </row>
    <row r="174" ht="13.5" customHeight="1">
      <c r="G174" s="154"/>
      <c r="J174" s="154"/>
    </row>
    <row r="175" ht="13.5" customHeight="1">
      <c r="G175" s="154"/>
      <c r="J175" s="154"/>
    </row>
    <row r="176" ht="13.5" customHeight="1">
      <c r="G176" s="154"/>
      <c r="J176" s="154"/>
    </row>
    <row r="177" ht="13.5" customHeight="1">
      <c r="G177" s="154"/>
      <c r="J177" s="154"/>
    </row>
    <row r="178" ht="13.5" customHeight="1">
      <c r="G178" s="154"/>
      <c r="J178" s="154"/>
    </row>
    <row r="179" ht="13.5" customHeight="1">
      <c r="G179" s="154"/>
      <c r="J179" s="154"/>
    </row>
    <row r="180" ht="13.5" customHeight="1">
      <c r="G180" s="154"/>
      <c r="J180" s="154"/>
    </row>
    <row r="181" ht="13.5" customHeight="1">
      <c r="G181" s="154"/>
      <c r="J181" s="154"/>
    </row>
    <row r="182" ht="13.5" customHeight="1">
      <c r="G182" s="154"/>
      <c r="J182" s="154"/>
    </row>
    <row r="183" ht="13.5" customHeight="1">
      <c r="G183" s="154"/>
      <c r="J183" s="154"/>
    </row>
    <row r="184" ht="13.5" customHeight="1">
      <c r="G184" s="154"/>
      <c r="J184" s="154"/>
    </row>
    <row r="185" ht="13.5" customHeight="1">
      <c r="G185" s="154"/>
      <c r="J185" s="154"/>
    </row>
    <row r="186" ht="13.5" customHeight="1">
      <c r="G186" s="154"/>
      <c r="J186" s="154"/>
    </row>
    <row r="187" ht="13.5" customHeight="1">
      <c r="G187" s="154"/>
      <c r="J187" s="154"/>
    </row>
    <row r="188" ht="13.5" customHeight="1">
      <c r="G188" s="154"/>
      <c r="J188" s="154"/>
    </row>
    <row r="189" ht="13.5" customHeight="1">
      <c r="G189" s="154"/>
      <c r="J189" s="154"/>
    </row>
    <row r="190" ht="13.5" customHeight="1">
      <c r="G190" s="154"/>
      <c r="J190" s="154"/>
    </row>
    <row r="191" ht="13.5" customHeight="1">
      <c r="G191" s="154"/>
      <c r="J191" s="154"/>
    </row>
    <row r="192" ht="13.5" customHeight="1">
      <c r="G192" s="154"/>
      <c r="J192" s="154"/>
    </row>
    <row r="193" ht="13.5" customHeight="1">
      <c r="G193" s="154"/>
      <c r="J193" s="154"/>
    </row>
    <row r="194" ht="13.5" customHeight="1">
      <c r="G194" s="154"/>
      <c r="J194" s="154"/>
    </row>
    <row r="195" ht="13.5" customHeight="1">
      <c r="G195" s="154"/>
      <c r="J195" s="154"/>
    </row>
    <row r="196" ht="13.5" customHeight="1">
      <c r="G196" s="154"/>
      <c r="J196" s="154"/>
    </row>
    <row r="197" ht="13.5" customHeight="1">
      <c r="G197" s="154"/>
      <c r="J197" s="154"/>
    </row>
    <row r="198" ht="13.5" customHeight="1">
      <c r="G198" s="154"/>
      <c r="J198" s="154"/>
    </row>
    <row r="199" ht="13.5" customHeight="1">
      <c r="G199" s="154"/>
      <c r="J199" s="154"/>
    </row>
    <row r="200" ht="13.5" customHeight="1">
      <c r="G200" s="154"/>
      <c r="J200" s="154"/>
    </row>
    <row r="201" ht="13.5" customHeight="1">
      <c r="G201" s="154"/>
      <c r="J201" s="154"/>
    </row>
    <row r="202" ht="13.5" customHeight="1">
      <c r="G202" s="154"/>
      <c r="J202" s="154"/>
    </row>
    <row r="203" ht="13.5" customHeight="1">
      <c r="G203" s="154"/>
      <c r="J203" s="154"/>
    </row>
    <row r="204" ht="13.5" customHeight="1">
      <c r="G204" s="154"/>
      <c r="J204" s="154"/>
    </row>
    <row r="205" ht="13.5" customHeight="1">
      <c r="G205" s="154"/>
      <c r="J205" s="154"/>
    </row>
    <row r="206" ht="13.5" customHeight="1">
      <c r="G206" s="154"/>
      <c r="J206" s="154"/>
    </row>
    <row r="207" ht="13.5" customHeight="1">
      <c r="G207" s="154"/>
      <c r="J207" s="154"/>
    </row>
    <row r="208" ht="13.5" customHeight="1">
      <c r="G208" s="154"/>
      <c r="J208" s="154"/>
    </row>
    <row r="209" ht="13.5" customHeight="1">
      <c r="G209" s="154"/>
      <c r="J209" s="154"/>
    </row>
    <row r="210" ht="13.5" customHeight="1">
      <c r="G210" s="154"/>
      <c r="J210" s="154"/>
    </row>
    <row r="211" ht="13.5" customHeight="1">
      <c r="G211" s="154"/>
      <c r="J211" s="154"/>
    </row>
    <row r="212" ht="13.5" customHeight="1">
      <c r="G212" s="154"/>
      <c r="J212" s="154"/>
    </row>
    <row r="213" ht="13.5" customHeight="1">
      <c r="G213" s="154"/>
      <c r="J213" s="154"/>
    </row>
    <row r="214" ht="13.5" customHeight="1">
      <c r="G214" s="154"/>
      <c r="J214" s="154"/>
    </row>
    <row r="215" ht="13.5" customHeight="1">
      <c r="G215" s="154"/>
      <c r="J215" s="154"/>
    </row>
    <row r="216" ht="13.5" customHeight="1">
      <c r="G216" s="154"/>
      <c r="J216" s="154"/>
    </row>
    <row r="217" ht="13.5" customHeight="1">
      <c r="G217" s="154"/>
      <c r="J217" s="154"/>
    </row>
    <row r="218" ht="13.5" customHeight="1">
      <c r="G218" s="154"/>
      <c r="J218" s="154"/>
    </row>
    <row r="219" ht="13.5" customHeight="1">
      <c r="G219" s="154"/>
      <c r="J219" s="154"/>
    </row>
    <row r="220" ht="13.5" customHeight="1">
      <c r="G220" s="154"/>
      <c r="J220" s="154"/>
    </row>
    <row r="221" ht="13.5" customHeight="1">
      <c r="G221" s="154"/>
      <c r="J221" s="154"/>
    </row>
    <row r="222" ht="13.5" customHeight="1">
      <c r="G222" s="154"/>
      <c r="J222" s="154"/>
    </row>
    <row r="223" ht="13.5" customHeight="1">
      <c r="G223" s="154"/>
      <c r="J223" s="154"/>
    </row>
    <row r="224" ht="13.5" customHeight="1">
      <c r="G224" s="154"/>
      <c r="J224" s="154"/>
    </row>
    <row r="225" ht="13.5" customHeight="1">
      <c r="G225" s="154"/>
      <c r="J225" s="154"/>
    </row>
    <row r="226" ht="13.5" customHeight="1">
      <c r="G226" s="154"/>
      <c r="J226" s="154"/>
    </row>
    <row r="227" ht="13.5" customHeight="1">
      <c r="G227" s="154"/>
      <c r="J227" s="154"/>
    </row>
    <row r="228" ht="13.5" customHeight="1">
      <c r="G228" s="154"/>
      <c r="J228" s="154"/>
    </row>
    <row r="229" ht="13.5" customHeight="1">
      <c r="G229" s="154"/>
      <c r="J229" s="154"/>
    </row>
    <row r="230" ht="13.5" customHeight="1">
      <c r="G230" s="154"/>
      <c r="J230" s="154"/>
    </row>
    <row r="231" ht="13.5" customHeight="1">
      <c r="G231" s="154"/>
      <c r="J231" s="154"/>
    </row>
    <row r="232" ht="13.5" customHeight="1">
      <c r="G232" s="154"/>
      <c r="J232" s="154"/>
    </row>
    <row r="233" ht="13.5" customHeight="1">
      <c r="G233" s="154"/>
      <c r="J233" s="154"/>
    </row>
    <row r="234" ht="13.5" customHeight="1">
      <c r="G234" s="154"/>
      <c r="J234" s="154"/>
    </row>
    <row r="235" ht="13.5" customHeight="1">
      <c r="G235" s="154"/>
      <c r="J235" s="154"/>
    </row>
    <row r="236" ht="13.5" customHeight="1">
      <c r="G236" s="154"/>
      <c r="J236" s="154"/>
    </row>
    <row r="237" ht="13.5" customHeight="1">
      <c r="G237" s="154"/>
      <c r="J237" s="154"/>
    </row>
    <row r="238" ht="13.5" customHeight="1">
      <c r="G238" s="154"/>
      <c r="J238" s="154"/>
    </row>
    <row r="239" ht="13.5" customHeight="1">
      <c r="G239" s="154"/>
      <c r="J239" s="154"/>
    </row>
    <row r="240" ht="13.5" customHeight="1">
      <c r="G240" s="154"/>
      <c r="J240" s="154"/>
    </row>
    <row r="241" ht="13.5" customHeight="1">
      <c r="G241" s="154"/>
      <c r="J241" s="154"/>
    </row>
    <row r="242" ht="13.5" customHeight="1">
      <c r="G242" s="154"/>
      <c r="J242" s="154"/>
    </row>
    <row r="243" ht="13.5" customHeight="1">
      <c r="G243" s="154"/>
      <c r="J243" s="154"/>
    </row>
    <row r="244" ht="13.5" customHeight="1">
      <c r="G244" s="154"/>
      <c r="J244" s="154"/>
    </row>
    <row r="245" ht="13.5" customHeight="1">
      <c r="G245" s="154"/>
      <c r="J245" s="154"/>
    </row>
    <row r="246" ht="13.5" customHeight="1">
      <c r="G246" s="154"/>
      <c r="J246" s="154"/>
    </row>
    <row r="247" ht="13.5" customHeight="1">
      <c r="G247" s="154"/>
      <c r="J247" s="154"/>
    </row>
    <row r="248" ht="13.5" customHeight="1">
      <c r="G248" s="154"/>
      <c r="J248" s="154"/>
    </row>
    <row r="249" ht="13.5" customHeight="1">
      <c r="G249" s="154"/>
      <c r="J249" s="154"/>
    </row>
    <row r="250" ht="13.5" customHeight="1">
      <c r="G250" s="154"/>
      <c r="J250" s="154"/>
    </row>
    <row r="251" ht="13.5" customHeight="1">
      <c r="G251" s="154"/>
      <c r="J251" s="154"/>
    </row>
    <row r="252" ht="13.5" customHeight="1">
      <c r="G252" s="154"/>
      <c r="J252" s="154"/>
    </row>
    <row r="253" ht="13.5" customHeight="1">
      <c r="G253" s="154"/>
      <c r="J253" s="154"/>
    </row>
    <row r="254" ht="13.5" customHeight="1">
      <c r="G254" s="154"/>
      <c r="J254" s="154"/>
    </row>
    <row r="255" ht="13.5" customHeight="1">
      <c r="G255" s="154"/>
      <c r="J255" s="154"/>
    </row>
    <row r="256" ht="13.5" customHeight="1">
      <c r="G256" s="154"/>
      <c r="J256" s="154"/>
    </row>
    <row r="257" ht="13.5" customHeight="1">
      <c r="G257" s="154"/>
      <c r="J257" s="154"/>
    </row>
    <row r="258" ht="13.5" customHeight="1">
      <c r="G258" s="154"/>
      <c r="J258" s="154"/>
    </row>
    <row r="259" ht="13.5" customHeight="1">
      <c r="G259" s="154"/>
      <c r="J259" s="154"/>
    </row>
    <row r="260" ht="13.5" customHeight="1">
      <c r="G260" s="154"/>
      <c r="J260" s="154"/>
    </row>
    <row r="261" ht="13.5" customHeight="1">
      <c r="G261" s="154"/>
      <c r="J261" s="154"/>
    </row>
    <row r="262" ht="13.5" customHeight="1">
      <c r="G262" s="154"/>
      <c r="J262" s="154"/>
    </row>
    <row r="263" ht="13.5" customHeight="1">
      <c r="G263" s="154"/>
      <c r="J263" s="154"/>
    </row>
    <row r="264" ht="13.5" customHeight="1">
      <c r="G264" s="154"/>
      <c r="J264" s="154"/>
    </row>
    <row r="265" ht="13.5" customHeight="1">
      <c r="G265" s="154"/>
      <c r="J265" s="154"/>
    </row>
    <row r="266" ht="13.5" customHeight="1">
      <c r="G266" s="154"/>
      <c r="J266" s="154"/>
    </row>
    <row r="267" ht="13.5" customHeight="1">
      <c r="G267" s="154"/>
      <c r="J267" s="154"/>
    </row>
    <row r="268" ht="13.5" customHeight="1">
      <c r="G268" s="154"/>
      <c r="J268" s="154"/>
    </row>
    <row r="269" ht="13.5" customHeight="1">
      <c r="G269" s="154"/>
      <c r="J269" s="15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G3:H3"/>
    <mergeCell ref="A6:I6"/>
    <mergeCell ref="B55:C55"/>
  </mergeCells>
  <conditionalFormatting sqref="M9:BB13">
    <cfRule type="expression" dxfId="5" priority="1" stopIfTrue="1">
      <formula>NOT(AND(MAX($K9,$H9)&gt;=M$5,MIN($J9,$G9)&lt;N$5))</formula>
    </cfRule>
  </conditionalFormatting>
  <conditionalFormatting sqref="M9:BB13">
    <cfRule type="expression" dxfId="6" priority="2">
      <formula>AND($H9&gt;=M$5,$G9&lt;N$5)</formula>
    </cfRule>
  </conditionalFormatting>
  <conditionalFormatting sqref="M9:BB13">
    <cfRule type="expression" dxfId="7" priority="3" stopIfTrue="1">
      <formula>AND($K9&gt;=M$5,$J9&lt;N$5)</formula>
    </cfRule>
  </conditionalFormatting>
  <conditionalFormatting sqref="M15:BB69 BC20:BN69">
    <cfRule type="expression" dxfId="8" priority="4">
      <formula>AND(TODAY()&gt;=M$5,TODAY()&lt;N$5)</formula>
    </cfRule>
  </conditionalFormatting>
  <conditionalFormatting sqref="M6:BN8 BO7 BC13:BN13">
    <cfRule type="expression" dxfId="8" priority="5">
      <formula>AND(TODAY()&gt;=M$5,TODAY()&lt;N$5)</formula>
    </cfRule>
  </conditionalFormatting>
  <conditionalFormatting sqref="M8:BB8 BC8:BN11 BC13:BN46 M14:BB46 BO19:CB19 M53:BN69">
    <cfRule type="expression" dxfId="6" priority="6">
      <formula>AND($H8&gt;=M$5,$G8&lt;N$5)</formula>
    </cfRule>
  </conditionalFormatting>
  <conditionalFormatting sqref="M8:BB8 BC8:BN11 BC13:BN46 M14:BB46 BO19:CB19 M53:BN69">
    <cfRule type="expression" dxfId="7" priority="7" stopIfTrue="1">
      <formula>AND($K8&gt;=M$5,$J8&lt;N$5)</formula>
    </cfRule>
  </conditionalFormatting>
  <conditionalFormatting sqref="M8:BB8 BC8:BN11 BC13:BN46 M14:BB46 BO19:CB19 M53:BN69">
    <cfRule type="expression" dxfId="5" priority="8" stopIfTrue="1">
      <formula>NOT(AND(MAX($K8,$H8)&gt;=M$5,MIN($J8,$G8)&lt;N$5))</formula>
    </cfRule>
  </conditionalFormatting>
  <conditionalFormatting sqref="M14:BN14">
    <cfRule type="expression" dxfId="8" priority="9">
      <formula>AND(TODAY()&gt;=M$5,TODAY()&lt;N$5)</formula>
    </cfRule>
  </conditionalFormatting>
  <conditionalFormatting sqref="M47:BN47">
    <cfRule type="expression" dxfId="5" priority="10" stopIfTrue="1">
      <formula>NOT(AND(MAX($K47,#REF!)&gt;=M$5,MIN($J47,#REF!)&lt;N$5))</formula>
    </cfRule>
  </conditionalFormatting>
  <conditionalFormatting sqref="M47:BN47">
    <cfRule type="expression" dxfId="6" priority="11">
      <formula>AND(#REF!&gt;=M$5,#REF!&lt;N$5)</formula>
    </cfRule>
  </conditionalFormatting>
  <conditionalFormatting sqref="M47:BN47">
    <cfRule type="expression" dxfId="7" priority="12" stopIfTrue="1">
      <formula>AND($K47&gt;=M$5,$J47&lt;N$5)</formula>
    </cfRule>
  </conditionalFormatting>
  <conditionalFormatting sqref="M48:BN49">
    <cfRule type="expression" dxfId="5" priority="13" stopIfTrue="1">
      <formula>NOT(AND(MAX($K48,#REF!)&gt;=M$5,MIN($J48,#REF!)&lt;N$5))</formula>
    </cfRule>
  </conditionalFormatting>
  <conditionalFormatting sqref="M48:BN49">
    <cfRule type="expression" dxfId="6" priority="14">
      <formula>AND(#REF!&gt;=M$5,#REF!&lt;N$5)</formula>
    </cfRule>
  </conditionalFormatting>
  <conditionalFormatting sqref="M48:BN49">
    <cfRule type="expression" dxfId="7" priority="15" stopIfTrue="1">
      <formula>AND($K48&gt;=M$5,$J48&lt;N$5)</formula>
    </cfRule>
  </conditionalFormatting>
  <conditionalFormatting sqref="M50:BN51">
    <cfRule type="expression" dxfId="5" priority="16" stopIfTrue="1">
      <formula>NOT(AND(MAX($K50,#REF!)&gt;=M$5,MIN($J50,#REF!)&lt;N$5))</formula>
    </cfRule>
  </conditionalFormatting>
  <conditionalFormatting sqref="M50:BN51">
    <cfRule type="expression" dxfId="6" priority="17">
      <formula>AND(#REF!&gt;=M$5,#REF!&lt;N$5)</formula>
    </cfRule>
  </conditionalFormatting>
  <conditionalFormatting sqref="M50:BN51">
    <cfRule type="expression" dxfId="7" priority="18" stopIfTrue="1">
      <formula>AND($K50&gt;=M$5,$J50&lt;N$5)</formula>
    </cfRule>
  </conditionalFormatting>
  <conditionalFormatting sqref="M52:BN52">
    <cfRule type="expression" dxfId="5" priority="19" stopIfTrue="1">
      <formula>NOT(AND(MAX($K52,#REF!)&gt;=M$5,MIN($J52,#REF!)&lt;N$5))</formula>
    </cfRule>
  </conditionalFormatting>
  <conditionalFormatting sqref="M52:BN52">
    <cfRule type="expression" dxfId="6" priority="20">
      <formula>AND(#REF!&gt;=M$5,#REF!&lt;N$5)</formula>
    </cfRule>
  </conditionalFormatting>
  <conditionalFormatting sqref="M52:BN52">
    <cfRule type="expression" dxfId="7" priority="21" stopIfTrue="1">
      <formula>AND($K52&gt;=M$5,$J52&lt;N$5)</formula>
    </cfRule>
  </conditionalFormatting>
  <conditionalFormatting sqref="M9:BB13 BC9:BN11">
    <cfRule type="expression" dxfId="8" priority="22">
      <formula>AND(TODAY()&gt;=M$5,TODAY()&lt;N$5)</formula>
    </cfRule>
  </conditionalFormatting>
  <conditionalFormatting sqref="BC15:BN18">
    <cfRule type="expression" dxfId="8" priority="23">
      <formula>AND(TODAY()&gt;=BC$5,TODAY()&lt;BD$5)</formula>
    </cfRule>
  </conditionalFormatting>
  <conditionalFormatting sqref="BC12:CB12">
    <cfRule type="expression" dxfId="8" priority="24">
      <formula>AND(TODAY()&gt;=BC$5,TODAY()&lt;BD$5)</formula>
    </cfRule>
  </conditionalFormatting>
  <conditionalFormatting sqref="BC12:CB12">
    <cfRule type="expression" dxfId="5" priority="25" stopIfTrue="1">
      <formula>NOT(AND(MAX($K12,$H12)&gt;=BC$5,MIN($J12,$G12)&lt;BD$5))</formula>
    </cfRule>
  </conditionalFormatting>
  <conditionalFormatting sqref="BC12:CB12">
    <cfRule type="expression" dxfId="6" priority="26">
      <formula>AND($H12&gt;=BC$5,$G12&lt;BD$5)</formula>
    </cfRule>
  </conditionalFormatting>
  <conditionalFormatting sqref="BC12:CB12">
    <cfRule type="expression" dxfId="7" priority="27" stopIfTrue="1">
      <formula>AND($K12&gt;=BC$5,$J12&lt;BD$5)</formula>
    </cfRule>
  </conditionalFormatting>
  <conditionalFormatting sqref="BC19:CB19">
    <cfRule type="expression" dxfId="8" priority="28">
      <formula>AND(TODAY()&gt;=BC$5,TODAY()&lt;BD$5)</formula>
    </cfRule>
  </conditionalFormatting>
  <dataValidations>
    <dataValidation type="list" allowBlank="1" showErrorMessage="1" sqref="G4">
      <formula1>"Daily,Weekly,Monthly,Quarterly"</formula1>
    </dataValidation>
  </dataValidations>
  <printOptions/>
  <pageMargins bottom="0.75" footer="0.0" header="0.0" left="0.7" right="0.7" top="0.75"/>
  <pageSetup paperSize="9" orientation="portrait"/>
  <drawing r:id="rId1"/>
  <tableParts count="1">
    <tablePart r:id="rId3"/>
  </tableParts>
</worksheet>
</file>